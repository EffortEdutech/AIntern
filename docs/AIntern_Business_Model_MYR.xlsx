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3c726166f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1c24e4f55e4556"/>
    <x:sheet xmlns:r="http://schemas.openxmlformats.org/officeDocument/2006/relationships" name="Assumptions" sheetId="2" r:id="R50659fa454db4c11"/>
    <x:sheet xmlns:r="http://schemas.openxmlformats.org/officeDocument/2006/relationships" name="Monthly Model" sheetId="3" r:id="R94c2387177c34b13"/>
    <x:sheet xmlns:r="http://schemas.openxmlformats.org/officeDocument/2006/relationships" name="Annual Summary" sheetId="4" r:id="R210eb505a7264078"/>
    <x:sheet xmlns:r="http://schemas.openxmlformats.org/officeDocument/2006/relationships" name="Unit Economics" sheetId="5" r:id="R00e81bd3135e482b"/>
    <x:sheet xmlns:r="http://schemas.openxmlformats.org/officeDocument/2006/relationships" name="Scenarios" sheetId="6" r:id="R3e81eebabdbb4f19"/>
    <x:sheet xmlns:r="http://schemas.openxmlformats.org/officeDocument/2006/relationships" name="Checks" sheetId="7" r:id="Red2cbf14bb5f44a6"/>
    <x:sheet xmlns:r="http://schemas.openxmlformats.org/officeDocument/2006/relationships" name="Sources &amp; Notes" sheetId="8" r:id="R1e9c25400c60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&quot;MYR &quot;#,##0;[Red](&quot;MYR &quot;#,##0);-"/>
    <x:numFmt numFmtId="202" formatCode="0.0%;[Red](0.0%);-"/>
    <x:numFmt numFmtId="203" formatCode="0.0x;[Red](0.0x);-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0F172A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0"/>
      <x:color rgb="FFFFFFFF"/>
      <x:name val="Aptos"/>
    </x:font>
    <x:font>
      <x:i/>
      <x:sz val="10"/>
      <x:color rgb="FF475569"/>
      <x:name val="Aptos"/>
    </x:font>
    <x:font>
      <x:sz val="10"/>
      <x:name val="Aptos"/>
    </x:font>
    <x:font>
      <x:b/>
      <x:sz val="10"/>
      <x:color rgb="FF0F172A"/>
      <x:name val="Aptos"/>
    </x:font>
    <x:font>
      <x:sz val="10"/>
      <x:color rgb="FF000000"/>
      <x:name val="Aptos"/>
    </x:font>
    <x:font>
      <x:sz val="10"/>
      <x:color rgb="FF0000FF"/>
      <x:name val="Aptos"/>
    </x:font>
    <x:font>
      <x:b/>
      <x:sz val="10"/>
      <x:color rgb="FF000000"/>
      <x:name val="Aptos"/>
    </x:font>
    <x:font>
      <x:b/>
      <x:sz val="18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8EEF5"/>
      </x:patternFill>
    </x:fill>
    <x:fill>
      <x:patternFill patternType="solid">
        <x:fgColor rgb="FFFFF2CC"/>
      </x:patternFill>
    </x:fill>
  </x:fills>
  <x:borders count="13">
    <x:border/>
    <x:border>
      <x:right/>
      <x:bottom/>
    </x:border>
    <x:border>
      <x:left/>
      <x:right/>
      <x:bottom/>
    </x:border>
    <x:border>
      <x:left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1" fontId="4" fillId="5" borderId="7" xfId="0" applyNumberFormat="1" applyFont="1" applyFill="1" applyBorder="1"/>
    <x:xf numFmtId="201" fontId="4" fillId="5" borderId="8" xfId="0" applyNumberFormat="1" applyFont="1" applyFill="1" applyBorder="1"/>
    <x:xf numFmtId="201" fontId="4" fillId="5" borderId="9" xfId="0" applyNumberFormat="1" applyFont="1" applyFill="1" applyBorder="1"/>
    <x:xf numFmtId="202" fontId="4" fillId="5" borderId="7" xfId="0" applyNumberFormat="1" applyFont="1" applyFill="1" applyBorder="1"/>
    <x:xf numFmtId="202" fontId="4" fillId="5" borderId="8" xfId="0" applyNumberFormat="1" applyFont="1" applyFill="1" applyBorder="1"/>
    <x:xf numFmtId="202" fontId="4" fillId="5" borderId="9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2" fontId="4" fillId="5" borderId="10" xfId="0" applyNumberFormat="1" applyFont="1" applyFill="1" applyBorder="1"/>
    <x:xf numFmtId="202" fontId="4" fillId="5" borderId="11" xfId="0" applyNumberFormat="1" applyFont="1" applyFill="1" applyBorder="1"/>
    <x:xf numFmtId="202" fontId="4" fillId="5" borderId="1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5" borderId="4" xfId="0" applyNumberFormat="1" applyFont="1" applyFill="1" applyBorder="1" applyAlignment="1">
      <x:alignment wrapText="1"/>
    </x:xf>
    <x:xf numFmtId="200" fontId="4" fillId="5" borderId="5" xfId="0" applyNumberFormat="1" applyFont="1" applyFill="1" applyBorder="1" applyAlignment="1">
      <x:alignment wrapText="1"/>
    </x:xf>
    <x:xf numFmtId="200" fontId="4" fillId="5" borderId="6" xfId="0" applyNumberFormat="1" applyFont="1" applyFill="1" applyBorder="1" applyAlignment="1">
      <x:alignment wrapText="1"/>
    </x:xf>
    <x:xf numFmtId="201" fontId="4" fillId="5" borderId="7" xfId="0" applyNumberFormat="1" applyFont="1" applyFill="1" applyBorder="1" applyAlignment="1">
      <x:alignment wrapText="1"/>
    </x:xf>
    <x:xf numFmtId="201" fontId="4" fillId="5" borderId="8" xfId="0" applyNumberFormat="1" applyFont="1" applyFill="1" applyBorder="1" applyAlignment="1">
      <x:alignment wrapText="1"/>
    </x:xf>
    <x:xf numFmtId="201" fontId="4" fillId="5" borderId="9" xfId="0" applyNumberFormat="1" applyFont="1" applyFill="1" applyBorder="1" applyAlignment="1">
      <x:alignment wrapText="1"/>
    </x:xf>
    <x:xf numFmtId="202" fontId="4" fillId="5" borderId="7" xfId="0" applyNumberFormat="1" applyFont="1" applyFill="1" applyBorder="1" applyAlignment="1">
      <x:alignment wrapText="1"/>
    </x:xf>
    <x:xf numFmtId="202" fontId="4" fillId="5" borderId="8" xfId="0" applyNumberFormat="1" applyFont="1" applyFill="1" applyBorder="1" applyAlignment="1">
      <x:alignment wrapText="1"/>
    </x:xf>
    <x:xf numFmtId="202" fontId="4" fillId="5" borderId="9" xfId="0" applyNumberFormat="1" applyFont="1" applyFill="1" applyBorder="1" applyAlignment="1">
      <x:alignment wrapText="1"/>
    </x:xf>
    <x:xf numFmtId="200" fontId="4" fillId="5" borderId="7" xfId="0" applyNumberFormat="1" applyFont="1" applyFill="1" applyBorder="1" applyAlignment="1">
      <x:alignment wrapText="1"/>
    </x:xf>
    <x:xf numFmtId="200" fontId="4" fillId="5" borderId="8" xfId="0" applyNumberFormat="1" applyFont="1" applyFill="1" applyBorder="1" applyAlignment="1">
      <x:alignment wrapText="1"/>
    </x:xf>
    <x:xf numFmtId="200" fontId="4" fillId="5" borderId="9" xfId="0" applyNumberFormat="1" applyFont="1" applyFill="1" applyBorder="1" applyAlignment="1">
      <x:alignment wrapText="1"/>
    </x:xf>
    <x:xf numFmtId="202" fontId="4" fillId="5" borderId="10" xfId="0" applyNumberFormat="1" applyFont="1" applyFill="1" applyBorder="1" applyAlignment="1">
      <x:alignment wrapText="1"/>
    </x:xf>
    <x:xf numFmtId="202" fontId="4" fillId="5" borderId="11" xfId="0" applyNumberFormat="1" applyFont="1" applyFill="1" applyBorder="1" applyAlignment="1">
      <x:alignment wrapText="1"/>
    </x:xf>
    <x:xf numFmtId="202" fontId="4" fillId="5" borderId="1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7" fillId="2" borderId="7" xfId="0" applyNumberFormat="1" applyFont="1" applyFill="1" applyBorder="1" applyAlignment="1">
      <x:alignment horizontal="left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left"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200" fontId="6" fillId="0" borderId="8" xfId="0" applyNumberFormat="1" applyFont="1" applyFill="1" applyBorder="1"/>
    <x:xf numFmtId="200" fontId="6" fillId="0" borderId="9" xfId="0" applyNumberFormat="1" applyFont="1" applyFill="1" applyBorder="1"/>
    <x:xf numFmtId="201" fontId="6" fillId="0" borderId="8" xfId="0" applyNumberFormat="1" applyFont="1" applyFill="1" applyBorder="1"/>
    <x:xf numFmtId="201" fontId="6" fillId="0" borderId="9" xfId="0" applyNumberFormat="1" applyFont="1" applyFill="1" applyBorder="1"/>
    <x:xf numFmtId="202" fontId="6" fillId="0" borderId="8" xfId="0" applyNumberFormat="1" applyFont="1" applyFill="1" applyBorder="1"/>
    <x:xf numFmtId="202" fontId="6" fillId="0" borderId="9" xfId="0" applyNumberFormat="1" applyFont="1" applyFill="1" applyBorder="1"/>
    <x:xf numFmtId="201" fontId="6" fillId="0" borderId="11" xfId="0" applyNumberFormat="1" applyFont="1" applyFill="1" applyBorder="1"/>
    <x:xf numFmtId="201" fontId="6" fillId="0" borderId="12" xfId="0" applyNumberFormat="1" applyFont="1" applyFill="1" applyBorder="1"/>
    <x:xf numFmtId="200" fontId="6" fillId="0" borderId="5" xfId="0" applyNumberFormat="1" applyFont="1" applyFill="1" applyBorder="1"/>
    <x:xf numFmtId="200" fontId="6" fillId="0" borderId="6" xfId="0" applyNumberFormat="1" applyFont="1" applyFill="1" applyBorder="1"/>
    <x:xf numFmtId="201" fontId="6" fillId="0" borderId="5" xfId="0" applyNumberFormat="1" applyFont="1" applyFill="1" applyBorder="1"/>
    <x:xf numFmtId="203" fontId="6" fillId="0" borderId="1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6" xfId="0" applyNumberFormat="1" applyFont="1" applyFill="1" applyBorder="1"/>
    <x:xf numFmtId="202" fontId="6" fillId="0" borderId="11" xfId="0" applyNumberFormat="1" applyFont="1" applyFill="1" applyBorder="1"/>
    <x:xf numFmtId="202" fontId="6" fillId="0" borderId="12" xfId="0" applyNumberFormat="1" applyFont="1" applyFill="1" applyBorder="1"/>
    <x:xf numFmtId="200" fontId="6" fillId="0" borderId="11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2" xfId="0" applyNumberFormat="1" applyFont="1" applyFill="1" applyBorder="1" applyAlignment="1">
      <x:alignment wrapText="1"/>
    </x:xf>
    <x:xf numFmtId="0" fontId="11" fillId="4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/>
    <x:xf numFmtId="201" fontId="12" fillId="0" borderId="5" xfId="0" applyNumberFormat="1" applyFont="1" applyFill="1" applyBorder="1"/>
    <x:xf numFmtId="201" fontId="12" fillId="0" borderId="6" xfId="0" applyNumberFormat="1" applyFont="1" applyFill="1" applyBorder="1"/>
    <x:xf numFmtId="0" fontId="12" fillId="0" borderId="7" xfId="0" applyNumberFormat="1" applyFont="1" applyFill="1" applyBorder="1"/>
    <x:xf numFmtId="201" fontId="12" fillId="0" borderId="8" xfId="0" applyNumberFormat="1" applyFont="1" applyFill="1" applyBorder="1"/>
    <x:xf numFmtId="201" fontId="12" fillId="0" borderId="9" xfId="0" applyNumberFormat="1" applyFont="1" applyFill="1" applyBorder="1"/>
    <x:xf numFmtId="0" fontId="12" fillId="0" borderId="10" xfId="0" applyNumberFormat="1" applyFont="1" applyFill="1" applyBorder="1"/>
    <x:xf numFmtId="201" fontId="12" fillId="0" borderId="11" xfId="0" applyNumberFormat="1" applyFont="1" applyFill="1" applyBorder="1"/>
    <x:xf numFmtId="201" fontId="12" fillId="0" borderId="12" xfId="0" applyNumberFormat="1" applyFont="1" applyFill="1" applyBorder="1"/>
    <x:xf numFmtId="200" fontId="12" fillId="0" borderId="8" xfId="0" applyNumberFormat="1" applyFont="1" applyFill="1" applyBorder="1"/>
    <x:xf numFmtId="200" fontId="12" fillId="0" borderId="9" xfId="0" applyNumberFormat="1" applyFont="1" applyFill="1" applyBorder="1"/>
    <x:xf numFmtId="202" fontId="12" fillId="0" borderId="11" xfId="0" applyNumberFormat="1" applyFont="1" applyFill="1" applyBorder="1"/>
    <x:xf numFmtId="202" fontId="12" fillId="0" borderId="12" xfId="0" applyNumberFormat="1" applyFont="1" applyFill="1" applyBorder="1"/>
    <x:xf numFmtId="201" fontId="10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201" fontId="12" fillId="0" borderId="5" xfId="0" applyNumberFormat="1" applyFont="1" applyFill="1" applyBorder="1" applyAlignment="1">
      <x:alignment wrapText="1"/>
    </x:xf>
    <x:xf numFmtId="201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201" fontId="12" fillId="0" borderId="8" xfId="0" applyNumberFormat="1" applyFont="1" applyFill="1" applyBorder="1" applyAlignment="1">
      <x:alignment wrapText="1"/>
    </x:xf>
    <x:xf numFmtId="201" fontId="12" fillId="0" borderId="9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201" fontId="12" fillId="0" borderId="11" xfId="0" applyNumberFormat="1" applyFont="1" applyFill="1" applyBorder="1" applyAlignment="1">
      <x:alignment wrapText="1"/>
    </x:xf>
    <x:xf numFmtId="201" fontId="12" fillId="0" borderId="12" xfId="0" applyNumberFormat="1" applyFont="1" applyFill="1" applyBorder="1" applyAlignment="1">
      <x:alignment wrapText="1"/>
    </x:xf>
    <x:xf numFmtId="200" fontId="12" fillId="0" borderId="8" xfId="0" applyNumberFormat="1" applyFont="1" applyFill="1" applyBorder="1" applyAlignment="1">
      <x:alignment wrapText="1"/>
    </x:xf>
    <x:xf numFmtId="200" fontId="12" fillId="0" borderId="9" xfId="0" applyNumberFormat="1" applyFont="1" applyFill="1" applyBorder="1" applyAlignment="1">
      <x:alignment wrapText="1"/>
    </x:xf>
    <x:xf numFmtId="202" fontId="12" fillId="0" borderId="11" xfId="0" applyNumberFormat="1" applyFont="1" applyFill="1" applyBorder="1" applyAlignment="1">
      <x:alignment wrapText="1"/>
    </x:xf>
    <x:xf numFmtId="202" fontId="12" fillId="0" borderId="12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0" fontId="13" fillId="5" borderId="4" xfId="0" applyNumberFormat="1" applyFont="1" applyFill="1" applyBorder="1" applyAlignment="1">
      <x:alignment wrapText="1"/>
    </x:xf>
    <x:xf numFmtId="200" fontId="13" fillId="5" borderId="5" xfId="0" applyNumberFormat="1" applyFont="1" applyFill="1" applyBorder="1" applyAlignment="1">
      <x:alignment wrapText="1"/>
    </x:xf>
    <x:xf numFmtId="200" fontId="13" fillId="5" borderId="6" xfId="0" applyNumberFormat="1" applyFont="1" applyFill="1" applyBorder="1" applyAlignment="1">
      <x:alignment wrapText="1"/>
    </x:xf>
    <x:xf numFmtId="201" fontId="13" fillId="5" borderId="7" xfId="0" applyNumberFormat="1" applyFont="1" applyFill="1" applyBorder="1" applyAlignment="1">
      <x:alignment wrapText="1"/>
    </x:xf>
    <x:xf numFmtId="201" fontId="13" fillId="5" borderId="8" xfId="0" applyNumberFormat="1" applyFont="1" applyFill="1" applyBorder="1" applyAlignment="1">
      <x:alignment wrapText="1"/>
    </x:xf>
    <x:xf numFmtId="201" fontId="13" fillId="5" borderId="9" xfId="0" applyNumberFormat="1" applyFont="1" applyFill="1" applyBorder="1" applyAlignment="1">
      <x:alignment wrapText="1"/>
    </x:xf>
    <x:xf numFmtId="202" fontId="13" fillId="5" borderId="7" xfId="0" applyNumberFormat="1" applyFont="1" applyFill="1" applyBorder="1" applyAlignment="1">
      <x:alignment wrapText="1"/>
    </x:xf>
    <x:xf numFmtId="202" fontId="13" fillId="5" borderId="8" xfId="0" applyNumberFormat="1" applyFont="1" applyFill="1" applyBorder="1" applyAlignment="1">
      <x:alignment wrapText="1"/>
    </x:xf>
    <x:xf numFmtId="202" fontId="13" fillId="5" borderId="9" xfId="0" applyNumberFormat="1" applyFont="1" applyFill="1" applyBorder="1" applyAlignment="1">
      <x:alignment wrapText="1"/>
    </x:xf>
    <x:xf numFmtId="200" fontId="13" fillId="5" borderId="7" xfId="0" applyNumberFormat="1" applyFont="1" applyFill="1" applyBorder="1" applyAlignment="1">
      <x:alignment wrapText="1"/>
    </x:xf>
    <x:xf numFmtId="200" fontId="13" fillId="5" borderId="8" xfId="0" applyNumberFormat="1" applyFont="1" applyFill="1" applyBorder="1" applyAlignment="1">
      <x:alignment wrapText="1"/>
    </x:xf>
    <x:xf numFmtId="200" fontId="13" fillId="5" borderId="9" xfId="0" applyNumberFormat="1" applyFont="1" applyFill="1" applyBorder="1" applyAlignment="1">
      <x:alignment wrapText="1"/>
    </x:xf>
    <x:xf numFmtId="202" fontId="13" fillId="5" borderId="10" xfId="0" applyNumberFormat="1" applyFont="1" applyFill="1" applyBorder="1" applyAlignment="1">
      <x:alignment wrapText="1"/>
    </x:xf>
    <x:xf numFmtId="202" fontId="13" fillId="5" borderId="11" xfId="0" applyNumberFormat="1" applyFont="1" applyFill="1" applyBorder="1" applyAlignment="1">
      <x:alignment wrapText="1"/>
    </x:xf>
    <x:xf numFmtId="202" fontId="13" fillId="5" borderId="12" xfId="0" applyNumberFormat="1" applyFont="1" applyFill="1" applyBorder="1" applyAlignment="1">
      <x:alignment wrapText="1"/>
    </x:xf>
    <x:xf numFmtId="0" fontId="12" fillId="0" borderId="5" xfId="0" applyNumberFormat="1" applyFont="1" applyFill="1" applyBorder="1"/>
    <x:xf numFmtId="0" fontId="12" fillId="0" borderId="6" xfId="0" applyNumberFormat="1" applyFont="1" applyFill="1" applyBorder="1"/>
    <x:xf numFmtId="0" fontId="14" fillId="2" borderId="7" xfId="0" applyNumberFormat="1" applyFont="1" applyFill="1" applyBorder="1" applyAlignment="1">
      <x:alignment horizontal="left"/>
    </x:xf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2" fillId="0" borderId="8" xfId="0" applyNumberFormat="1" applyFont="1" applyFill="1" applyBorder="1" applyAlignment="1">
      <x:alignment wrapText="1"/>
    </x:xf>
    <x:xf numFmtId="0" fontId="14" fillId="2" borderId="7" xfId="0" applyNumberFormat="1" applyFont="1" applyFill="1" applyBorder="1" applyAlignment="1">
      <x:alignment horizontal="left" wrapText="1"/>
    </x:xf>
    <x:xf numFmtId="202" fontId="12" fillId="0" borderId="8" xfId="0" applyNumberFormat="1" applyFont="1" applyFill="1" applyBorder="1"/>
    <x:xf numFmtId="202" fontId="12" fillId="0" borderId="9" xfId="0" applyNumberFormat="1" applyFont="1" applyFill="1" applyBorder="1"/>
    <x:xf numFmtId="0" fontId="12" fillId="0" borderId="11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202" fontId="12" fillId="0" borderId="8" xfId="0" applyNumberFormat="1" applyFont="1" applyFill="1" applyBorder="1" applyAlignment="1">
      <x:alignment wrapText="1"/>
    </x:xf>
    <x:xf numFmtId="202" fontId="12" fillId="0" borderId="9" xfId="0" applyNumberFormat="1" applyFont="1" applyFill="1" applyBorder="1" applyAlignment="1">
      <x:alignment wrapText="1"/>
    </x:xf>
    <x:xf numFmtId="200" fontId="12" fillId="0" borderId="5" xfId="0" applyNumberFormat="1" applyFont="1" applyFill="1" applyBorder="1"/>
    <x:xf numFmtId="200" fontId="12" fillId="0" borderId="6" xfId="0" applyNumberFormat="1" applyFont="1" applyFill="1" applyBorder="1"/>
    <x:xf numFmtId="200" fontId="12" fillId="0" borderId="5" xfId="0" applyNumberFormat="1" applyFont="1" applyFill="1" applyBorder="1" applyAlignment="1">
      <x:alignment wrapText="1"/>
    </x:xf>
    <x:xf numFmtId="200" fontId="12" fillId="0" borderId="6" xfId="0" applyNumberFormat="1" applyFont="1" applyFill="1" applyBorder="1" applyAlignment="1">
      <x:alignment wrapText="1"/>
    </x:xf>
    <x:xf numFmtId="0" fontId="12" fillId="0" borderId="11" xfId="0" applyNumberFormat="1" applyFont="1" applyFill="1" applyBorder="1"/>
    <x:xf numFmtId="203" fontId="12" fillId="0" borderId="11" xfId="0" applyNumberFormat="1" applyFont="1" applyFill="1" applyBorder="1"/>
    <x:xf numFmtId="0" fontId="12" fillId="0" borderId="12" xfId="0" applyNumberFormat="1" applyFont="1" applyFill="1" applyBorder="1"/>
    <x:xf numFmtId="203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200" fontId="12" fillId="0" borderId="11" xfId="0" applyNumberFormat="1" applyFont="1" applyFill="1" applyBorder="1"/>
    <x:xf numFmtId="200" fontId="12" fillId="0" borderId="11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fa44a46ee4a5e" /><Relationship Type="http://schemas.openxmlformats.org/officeDocument/2006/relationships/theme" Target="/xl/theme/theme1.xml" Id="Rbaea358e324e4c56" /><Relationship Type="http://schemas.openxmlformats.org/officeDocument/2006/relationships/sharedStrings" Target="/xl/sharedStrings.xml" Id="Rff2c6d87c35c4bc1" /><Relationship Type="http://schemas.openxmlformats.org/officeDocument/2006/relationships/worksheet" Target="/xl/worksheets/sheet1.xml" Id="R591c24e4f55e4556" /><Relationship Type="http://schemas.openxmlformats.org/officeDocument/2006/relationships/worksheet" Target="/xl/worksheets/sheet2.xml" Id="R50659fa454db4c11" /><Relationship Type="http://schemas.openxmlformats.org/officeDocument/2006/relationships/worksheet" Target="/xl/worksheets/sheet3.xml" Id="R94c2387177c34b13" /><Relationship Type="http://schemas.openxmlformats.org/officeDocument/2006/relationships/worksheet" Target="/xl/worksheets/sheet4.xml" Id="R210eb505a7264078" /><Relationship Type="http://schemas.openxmlformats.org/officeDocument/2006/relationships/worksheet" Target="/xl/worksheets/sheet5.xml" Id="R00e81bd3135e482b" /><Relationship Type="http://schemas.openxmlformats.org/officeDocument/2006/relationships/worksheet" Target="/xl/worksheets/sheet6.xml" Id="R3e81eebabdbb4f19" /><Relationship Type="http://schemas.openxmlformats.org/officeDocument/2006/relationships/worksheet" Target="/xl/worksheets/sheet7.xml" Id="Red2cbf14bb5f44a6" /><Relationship Type="http://schemas.openxmlformats.org/officeDocument/2006/relationships/worksheet" Target="/xl/worksheets/sheet8.xml" Id="R1e9c25400c6047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25527d31ca4445" /><Relationship Type="http://schemas.openxmlformats.org/officeDocument/2006/relationships/chart" Target="/xl/drawings/charts/chart2.xml" Id="Ree22c0d96f9544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and EBITDA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'Dashboard'!$A$13:$A$48</c:f>
              <c:strCache>
                <c:ptCount val="0"/>
              </c:strCache>
            </c:strRef>
          </c:cat>
          <c:val>
            <c:numRef>
              <c:f>'Dashboard'!$B$13:$B$48</c:f>
              <c:numCache>
                <c:formatCode>"MYR "#,##0;[Red]("MYR "#,##0);-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'Dashboard'!$A$13:$A$48</c:f>
              <c:strCache>
                <c:ptCount val="0"/>
              </c:strCache>
            </c:strRef>
          </c:cat>
          <c:val>
            <c:numRef>
              <c:f>'Dashboard'!$C$13:$C$48</c:f>
              <c:numCache>
                <c:formatCode>"MYR "#,##0;[Red]("MYR "#,##0);-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MYR 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3-Year Scenario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3-Year Revenue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'Dashboard'!$G$5:$G$7</c:f>
              <c:numCache>
                <c:formatCode>"MYR "#,##0;[Red]("MYR "#,##0);-</c:formatCode>
                <c:ptCount val="0"/>
              </c:numCache>
            </c:numRef>
          </c:val>
        </c:ser>
        <c:ser>
          <c:idx val="1"/>
          <c:order val="1"/>
          <c:tx>
            <c:v>3-Year EBITDA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'Dashboard'!$H$5:$H$7</c:f>
              <c:numCache>
                <c:formatCode>"MYR "#,##0;[Red]("MYR 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MYR 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25527d31ca4445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11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22c0d96f9544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umptionsTable" displayName="AssumptionsTable" ref="A4:H24" headerRowCount="1">
  <x:tableColumns count="8">
    <x:tableColumn id="1" name="Category"/>
    <x:tableColumn id="2" name="Assumption"/>
    <x:tableColumn id="3" name="Base Case"/>
    <x:tableColumn id="4" name="Bear Case"/>
    <x:tableColumn id="5" name="Bull Case"/>
    <x:tableColumn id="6" name="Unit"/>
    <x:tableColumn id="7" name="Source / Rational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nnualSummaryTable" displayName="AnnualSummaryTable" ref="A4:E14" headerRowCount="1">
  <x:tableColumns count="5">
    <x:tableColumn id="1" name="Metric"/>
    <x:tableColumn id="2" name="Year 1"/>
    <x:tableColumn id="3" name="Year 2"/>
    <x:tableColumn id="4" name="Year 3"/>
    <x:tableColumn id="5" name="3-Year Total"/>
  </x:tableColumns>
  <x:tableStyleInfo name="TableStyleMedium2" showRowStripes="1"/>
</x:table>
</file>

<file path=xl/tables/table3.xml><?xml version="1.0" encoding="utf-8"?>
<x:table xmlns:x="http://schemas.openxmlformats.org/spreadsheetml/2006/main" id="3" name="UnitEconomicsTable" displayName="UnitEconomicsTable" ref="A4:E13" headerRowCount="1">
  <x:tableColumns count="5">
    <x:tableColumn id="1" name="Metric"/>
    <x:tableColumn id="2" name="Formula / Basis"/>
    <x:tableColumn id="3" name="Value"/>
    <x:tableColumn id="4" name="Unit"/>
    <x:tableColumn id="5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ScenarioSummaryTable" displayName="ScenarioSummaryTable" ref="A4:D9" headerRowCount="1">
  <x:tableColumns count="4">
    <x:tableColumn id="1" name="Metric"/>
    <x:tableColumn id="2" name="Bear"/>
    <x:tableColumn id="3" name="Base"/>
    <x:tableColumn id="4" name="Bull"/>
  </x:tableColumns>
  <x:tableStyleInfo name="TableStyleMedium2" showRowStripes="1"/>
</x:table>
</file>

<file path=xl/tables/table5.xml><?xml version="1.0" encoding="utf-8"?>
<x:table xmlns:x="http://schemas.openxmlformats.org/spreadsheetml/2006/main" id="5" name="ChecksTable" displayName="ChecksTable" ref="A4:F10" headerRowCount="1">
  <x:tableColumns count="6">
    <x:tableColumn id="1" name="Check"/>
    <x:tableColumn id="2" name="Actual"/>
    <x:tableColumn id="3" name="Expected"/>
    <x:tableColumn id="4" name="Difference"/>
    <x:tableColumn id="5" name="Status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F12" headerRowCount="1">
  <x:tableColumns count="6">
    <x:tableColumn id="1" name="Item"/>
    <x:tableColumn id="2" name="Value / Area"/>
    <x:tableColumn id="3" name="Units"/>
    <x:tableColumn id="4" name="Source Type"/>
    <x:tableColumn id="5" name="Notes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c543d6ea054a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2a1d730fda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340690af067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451dd303126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a08adfba46946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c6d21b01c8647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a295ded37b045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" hidden="0" customWidth="1"/>
    <x:col min="3" max="3" width="15" hidden="0" customWidth="1"/>
    <x:col min="4" max="4" width="15" hidden="0" customWidth="1"/>
    <x:col min="5" max="5" width="5" hidden="0" customWidth="1"/>
    <x:col min="6" max="6" width="21.25" hidden="0" customWidth="1"/>
    <x:col min="7" max="7" width="21.25" hidden="0" customWidth="1"/>
    <x:col min="8" max="8" width="21.25" hidden="0" customWidth="1"/>
    <x:col min="9" max="9" width="5" hidden="0" customWidth="1"/>
    <x:col min="10" max="10" width="21.25" hidden="0" customWidth="1"/>
    <x:col min="11" max="11" width="21.25" hidden="0" customWidth="1"/>
  </x:cols>
  <x:sheetData>
    <x:row r="1" ht="31.5" customHeight="1">
      <x:c r="A1" s="179" t="str">
        <x:v>AIntern Business Model Dashboard (MYR)</x:v>
      </x:c>
      <x:c r="B1" s="179" t="str">
        <x:v>AIntern Business Model Dashboard (MYR)</x:v>
      </x:c>
      <x:c r="C1" s="179" t="str">
        <x:v>AIntern Business Model Dashboard (MYR)</x:v>
      </x:c>
      <x:c r="D1" s="179" t="str">
        <x:v>AIntern Business Model Dashboard (MYR)</x:v>
      </x:c>
      <x:c r="E1" s="179" t="str">
        <x:v>AIntern Business Model Dashboard (MYR)</x:v>
      </x:c>
      <x:c r="F1" s="179" t="str">
        <x:v>AIntern Business Model Dashboard (MYR)</x:v>
      </x:c>
      <x:c r="G1" s="179" t="str">
        <x:v>AIntern Business Model Dashboard (MYR)</x:v>
      </x:c>
      <x:c r="H1" s="179" t="str">
        <x:v>AIntern Business Model Dashboard (MYR)</x:v>
      </x:c>
      <x:c r="I1" s="179" t="str">
        <x:v>AIntern Business Model Dashboard (MYR)</x:v>
      </x:c>
      <x:c r="J1" s="179" t="str">
        <x:v>AIntern Business Model Dashboard (MYR)</x:v>
      </x:c>
      <x:c r="K1" s="179" t="str">
        <x:v>AIntern Business Model Dashboard (MYR)</x:v>
      </x:c>
    </x:row>
    <x:row r="2">
      <x:c r="A2" s="103" t="str">
        <x:v>Base Case forecast. Update assumptions to refresh model outputs.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</x:row>
    <x:row r="4">
      <x:c r="A4" s="105" t="str">
        <x:v>KPI</x:v>
      </x:c>
      <x:c r="B4" s="106" t="str">
        <x:v>Year 1</x:v>
      </x:c>
      <x:c r="C4" s="106" t="str">
        <x:v>Year 2</x:v>
      </x:c>
      <x:c r="D4" s="107" t="str">
        <x:v>Year 3</x:v>
      </x:c>
      <x:c r="E4" s="123"/>
      <x:c r="F4" s="105" t="str">
        <x:v>Scenario</x:v>
      </x:c>
      <x:c r="G4" s="106" t="str">
        <x:v>3-Year Revenue</x:v>
      </x:c>
      <x:c r="H4" s="107" t="str">
        <x:v>3-Year EBITDA</x:v>
      </x:c>
      <x:c r="I4" s="123"/>
      <x:c r="J4" s="123"/>
      <x:c r="K4" s="123"/>
    </x:row>
    <x:row r="5">
      <x:c r="A5" s="124" t="str">
        <x:v>Gross revenue</x:v>
      </x:c>
      <x:c r="B5" s="125" t="n">
        <x:f>'Annual Summary'!B7</x:f>
        <x:v>68901.53585015415</x:v>
      </x:c>
      <x:c r="C5" s="125" t="n">
        <x:f>'Annual Summary'!C7</x:f>
        <x:v>502126.32452027523</x:v>
      </x:c>
      <x:c r="D5" s="126" t="n">
        <x:f>'Annual Summary'!D7</x:f>
        <x:v>3659292.0994471074</x:v>
      </x:c>
      <x:c r="E5" s="123"/>
      <x:c r="F5" s="124" t="str">
        <x:f>"Bear"</x:f>
        <x:v>Bear</x:v>
      </x:c>
      <x:c r="G5" s="125" t="n">
        <x:f>Scenarios!B8</x:f>
        <x:v>232197.1826364093</x:v>
      </x:c>
      <x:c r="H5" s="126" t="n">
        <x:f>Scenarios!B9</x:f>
        <x:v>86109.29533095291</x:v>
      </x:c>
      <x:c r="I5" s="123"/>
      <x:c r="J5" s="123"/>
      <x:c r="K5" s="123"/>
    </x:row>
    <x:row r="6">
      <x:c r="A6" s="127" t="str">
        <x:v>EBITDA</x:v>
      </x:c>
      <x:c r="B6" s="128" t="n">
        <x:f>'Annual Summary'!B12</x:f>
        <x:v>-23582.12542488904</x:v>
      </x:c>
      <x:c r="C6" s="128" t="n">
        <x:f>'Annual Summary'!C12</x:f>
        <x:v>209939.3572580754</x:v>
      </x:c>
      <x:c r="D6" s="129" t="n">
        <x:f>'Annual Summary'!D12</x:f>
        <x:v>2038001.2192565831</x:v>
      </x:c>
      <x:c r="E6" s="123"/>
      <x:c r="F6" s="127" t="str">
        <x:f>"Base"</x:f>
        <x:v>Base</x:v>
      </x:c>
      <x:c r="G6" s="128" t="n">
        <x:f>Scenarios!C8</x:f>
        <x:v>4230319.959817537</x:v>
      </x:c>
      <x:c r="H6" s="129" t="n">
        <x:f>Scenarios!C9</x:f>
        <x:v>2224358.4510897696</x:v>
      </x:c>
      <x:c r="I6" s="123"/>
      <x:c r="J6" s="123"/>
      <x:c r="K6" s="123"/>
    </x:row>
    <x:row r="7">
      <x:c r="A7" s="127" t="str">
        <x:v>Ending cash</x:v>
      </x:c>
      <x:c r="B7" s="128" t="n">
        <x:f>'Annual Summary'!B14</x:f>
        <x:v>-13582.12542488905</x:v>
      </x:c>
      <x:c r="C7" s="128" t="n">
        <x:f>'Annual Summary'!C14</x:f>
        <x:v>196357.23183318635</x:v>
      </x:c>
      <x:c r="D7" s="129" t="n">
        <x:f>'Annual Summary'!D14</x:f>
        <x:v>2234358.4510897696</x:v>
      </x:c>
      <x:c r="E7" s="123"/>
      <x:c r="F7" s="130" t="str">
        <x:f>"Bull"</x:f>
        <x:v>Bull</x:v>
      </x:c>
      <x:c r="G7" s="131" t="n">
        <x:f>Scenarios!D8</x:f>
        <x:v>64875075.4060723</x:v>
      </x:c>
      <x:c r="H7" s="132" t="n">
        <x:f>Scenarios!D9</x:f>
        <x:v>62662423.143890135</x:v>
      </x:c>
      <x:c r="I7" s="123"/>
      <x:c r="J7" s="123"/>
      <x:c r="K7" s="123"/>
    </x:row>
    <x:row r="8">
      <x:c r="A8" s="127" t="str">
        <x:v>Ending active users</x:v>
      </x:c>
      <x:c r="B8" s="133" t="n">
        <x:f>'Annual Summary'!B6</x:f>
        <x:v>941.9643234448123</x:v>
      </x:c>
      <x:c r="C8" s="133" t="n">
        <x:f>'Annual Summary'!C6</x:f>
        <x:v>7518.227006804737</x:v>
      </x:c>
      <x:c r="D8" s="134" t="n">
        <x:f>'Annual Summary'!D6</x:f>
        <x:v>55243.25353641919</x:v>
      </x:c>
      <x:c r="E8" s="123"/>
      <x:c r="F8" s="123"/>
      <x:c r="G8" s="123"/>
      <x:c r="H8" s="123"/>
      <x:c r="I8" s="123"/>
      <x:c r="J8" s="123"/>
      <x:c r="K8" s="123"/>
    </x:row>
    <x:row r="9">
      <x:c r="A9" s="130" t="str">
        <x:v>Gross margin</x:v>
      </x:c>
      <x:c r="B9" s="135" t="n">
        <x:f>'Annual Summary'!B10</x:f>
        <x:v>0.8788302781452499</x:v>
      </x:c>
      <x:c r="C9" s="135" t="n">
        <x:f>'Annual Summary'!C10</x:f>
        <x:v>0.8639741023221172</x:v>
      </x:c>
      <x:c r="D9" s="136" t="n">
        <x:f>'Annual Summary'!D10</x:f>
        <x:v>0.8625596648475291</x:v>
      </x:c>
      <x:c r="E9" s="123"/>
      <x:c r="F9" s="123"/>
      <x:c r="G9" s="123"/>
      <x:c r="H9" s="123"/>
      <x:c r="I9" s="123"/>
      <x:c r="J9" s="123"/>
      <x:c r="K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</x:row>
    <x:row r="12">
      <x:c r="A12" s="105" t="str">
        <x:v>Month</x:v>
      </x:c>
      <x:c r="B12" s="106" t="str">
        <x:v>Revenue</x:v>
      </x:c>
      <x:c r="C12" s="107" t="str">
        <x:v>EBITDA</x:v>
      </x:c>
      <x:c r="D12" s="123"/>
      <x:c r="E12" s="123"/>
      <x:c r="F12" s="123"/>
      <x:c r="G12" s="123"/>
      <x:c r="H12" s="123"/>
      <x:c r="I12" s="123"/>
      <x:c r="J12" s="123"/>
      <x:c r="K12" s="123"/>
    </x:row>
    <x:row r="13">
      <x:c r="A13" s="123" t="str">
        <x:f>"M1"</x:f>
        <x:v>M1</x:v>
      </x:c>
      <x:c r="B13" s="137" t="n">
        <x:f>'Monthly Model'!D20</x:f>
        <x:v>1972.5</x:v>
      </x:c>
      <x:c r="C13" s="137" t="n">
        <x:f>'Monthly Model'!D40</x:f>
        <x:v>-3528.0375</x:v>
      </x:c>
      <x:c r="D13" s="123"/>
      <x:c r="E13" s="123"/>
      <x:c r="F13" s="123"/>
      <x:c r="G13" s="123"/>
      <x:c r="H13" s="123"/>
      <x:c r="I13" s="123"/>
      <x:c r="J13" s="123"/>
      <x:c r="K13" s="123"/>
    </x:row>
    <x:row r="14">
      <x:c r="A14" s="123" t="str">
        <x:f>"M2"</x:f>
        <x:v>M2</x:v>
      </x:c>
      <x:c r="B14" s="137" t="n">
        <x:f>'Monthly Model'!E20</x:f>
        <x:v>2327.55</x:v>
      </x:c>
      <x:c r="C14" s="137" t="n">
        <x:f>'Monthly Model'!E40</x:f>
        <x:v>-3427.3642499999996</x:v>
      </x:c>
      <x:c r="D14" s="123"/>
      <x:c r="E14" s="123"/>
      <x:c r="F14" s="123"/>
      <x:c r="G14" s="123"/>
      <x:c r="H14" s="123"/>
      <x:c r="I14" s="123"/>
      <x:c r="J14" s="123"/>
      <x:c r="K14" s="123"/>
    </x:row>
    <x:row r="15">
      <x:c r="A15" s="123" t="str">
        <x:f>"M3"</x:f>
        <x:v>M3</x:v>
      </x:c>
      <x:c r="B15" s="137" t="n">
        <x:f>'Monthly Model'!F20</x:f>
        <x:v>2746.509</x:v>
      </x:c>
      <x:c r="C15" s="137" t="n">
        <x:f>'Monthly Model'!F40</x:f>
        <x:v>-3292.1214150000005</x:v>
      </x:c>
      <x:c r="D15" s="123"/>
      <x:c r="E15" s="123"/>
      <x:c r="F15" s="123"/>
      <x:c r="G15" s="123"/>
      <x:c r="H15" s="123"/>
      <x:c r="I15" s="123"/>
      <x:c r="J15" s="123"/>
      <x:c r="K15" s="123"/>
    </x:row>
    <x:row r="16">
      <x:c r="A16" s="123" t="str">
        <x:f>"M4"</x:f>
        <x:v>M4</x:v>
      </x:c>
      <x:c r="B16" s="137" t="n">
        <x:f>'Monthly Model'!G20</x:f>
        <x:v>3240.88062</x:v>
      </x:c>
      <x:c r="C16" s="137" t="n">
        <x:f>'Monthly Model'!G40</x:f>
        <x:v>-3115.6349217</x:v>
      </x:c>
      <x:c r="D16" s="123"/>
      <x:c r="E16" s="123"/>
      <x:c r="F16" s="123"/>
      <x:c r="G16" s="123"/>
      <x:c r="H16" s="123"/>
      <x:c r="I16" s="123"/>
      <x:c r="J16" s="123"/>
      <x:c r="K16" s="123"/>
    </x:row>
    <x:row r="17">
      <x:c r="A17" s="123" t="str">
        <x:f>"M5"</x:f>
        <x:v>M5</x:v>
      </x:c>
      <x:c r="B17" s="137" t="n">
        <x:f>'Monthly Model'!H20</x:f>
        <x:v>3824.239131599999</x:v>
      </x:c>
      <x:c r="C17" s="137" t="n">
        <x:f>'Monthly Model'!H40</x:f>
        <x:v>-2890.014560046001</x:v>
      </x:c>
      <x:c r="D17" s="123"/>
      <x:c r="E17" s="123"/>
      <x:c r="F17" s="123"/>
      <x:c r="G17" s="123"/>
      <x:c r="H17" s="123"/>
      <x:c r="I17" s="123"/>
      <x:c r="J17" s="123"/>
      <x:c r="K17" s="123"/>
    </x:row>
    <x:row r="18">
      <x:c r="A18" s="123" t="str">
        <x:f>"M6"</x:f>
        <x:v>M6</x:v>
      </x:c>
      <x:c r="B18" s="137" t="n">
        <x:f>'Monthly Model'!I20</x:f>
        <x:v>4512.602175288</x:v>
      </x:c>
      <x:c r="C18" s="137" t="n">
        <x:f>'Monthly Model'!I40</x:f>
        <x:v>-2605.9346722210794</x:v>
      </x:c>
      <x:c r="D18" s="123"/>
      <x:c r="E18" s="123"/>
      <x:c r="F18" s="123"/>
      <x:c r="G18" s="123"/>
      <x:c r="H18" s="123"/>
      <x:c r="I18" s="123"/>
      <x:c r="J18" s="123"/>
      <x:c r="K18" s="123"/>
    </x:row>
    <x:row r="19">
      <x:c r="A19" s="123" t="str">
        <x:f>"M7"</x:f>
        <x:v>M7</x:v>
      </x:c>
      <x:c r="B19" s="137" t="n">
        <x:f>'Monthly Model'!J20</x:f>
        <x:v>5324.870566839839</x:v>
      </x:c>
      <x:c r="C19" s="137" t="n">
        <x:f>'Monthly Model'!J40</x:f>
        <x:v>-2252.375352331672</x:v>
      </x:c>
      <x:c r="D19" s="123"/>
      <x:c r="E19" s="123"/>
      <x:c r="F19" s="123"/>
      <x:c r="G19" s="123"/>
      <x:c r="H19" s="123"/>
      <x:c r="I19" s="123"/>
      <x:c r="J19" s="123"/>
      <x:c r="K19" s="123"/>
    </x:row>
    <x:row r="20">
      <x:c r="A20" s="123" t="str">
        <x:f>"M8"</x:f>
        <x:v>M8</x:v>
      </x:c>
      <x:c r="B20" s="137" t="n">
        <x:f>'Monthly Model'!K20</x:f>
        <x:v>6283.347268871009</x:v>
      </x:c>
      <x:c r="C20" s="137" t="n">
        <x:f>'Monthly Model'!K40</x:f>
        <x:v>-1816.3170483483964</x:v>
      </x:c>
      <x:c r="D20" s="123"/>
      <x:c r="E20" s="123"/>
      <x:c r="F20" s="123"/>
      <x:c r="G20" s="123"/>
      <x:c r="H20" s="123"/>
      <x:c r="I20" s="123"/>
      <x:c r="J20" s="123"/>
      <x:c r="K20" s="123"/>
    </x:row>
    <x:row r="21">
      <x:c r="A21" s="123" t="str">
        <x:f>"M9"</x:f>
        <x:v>M9</x:v>
      </x:c>
      <x:c r="B21" s="137" t="n">
        <x:f>'Monthly Model'!L20</x:f>
        <x:v>7414.34977726779</x:v>
      </x:c>
      <x:c r="C21" s="137" t="n">
        <x:f>'Monthly Model'!L40</x:f>
        <x:v>-1282.3801783295548</x:v>
      </x:c>
      <x:c r="D21" s="123"/>
      <x:c r="E21" s="123"/>
      <x:c r="F21" s="123"/>
      <x:c r="G21" s="123"/>
      <x:c r="H21" s="123"/>
      <x:c r="I21" s="123"/>
      <x:c r="J21" s="123"/>
      <x:c r="K21" s="123"/>
    </x:row>
    <x:row r="22">
      <x:c r="A22" s="123" t="str">
        <x:f>"M10"</x:f>
        <x:v>M10</x:v>
      </x:c>
      <x:c r="B22" s="137" t="n">
        <x:f>'Monthly Model'!M20</x:f>
        <x:v>8748.932737175994</x:v>
      </x:c>
      <x:c r="C22" s="137" t="n">
        <x:f>'Monthly Model'!M40</x:f>
        <x:v>-632.3998631080849</x:v>
      </x:c>
      <x:c r="D22" s="123"/>
      <x:c r="E22" s="123"/>
      <x:c r="F22" s="123"/>
      <x:c r="G22" s="123"/>
      <x:c r="H22" s="123"/>
      <x:c r="I22" s="123"/>
      <x:c r="J22" s="123"/>
      <x:c r="K22" s="123"/>
    </x:row>
    <x:row r="23">
      <x:c r="A23" s="123" t="str">
        <x:f>"M11"</x:f>
        <x:v>M11</x:v>
      </x:c>
      <x:c r="B23" s="137" t="n">
        <x:f>'Monthly Model'!N20</x:f>
        <x:v>10323.740629867672</x:v>
      </x:c>
      <x:c r="C23" s="137" t="n">
        <x:f>'Monthly Model'!N40</x:f>
        <x:v>155.07590399733454</x:v>
      </x:c>
      <x:c r="D23" s="123"/>
      <x:c r="E23" s="123"/>
      <x:c r="F23" s="123"/>
      <x:c r="G23" s="123"/>
      <x:c r="H23" s="123"/>
      <x:c r="I23" s="123"/>
      <x:c r="J23" s="123"/>
      <x:c r="K23" s="123"/>
    </x:row>
    <x:row r="24">
      <x:c r="A24" s="123" t="str">
        <x:f>"M12"</x:f>
        <x:v>M12</x:v>
      </x:c>
      <x:c r="B24" s="137" t="n">
        <x:f>'Monthly Model'!O20</x:f>
        <x:v>12182.013943243852</x:v>
      </x:c>
      <x:c r="C24" s="137" t="n">
        <x:f>'Monthly Model'!O40</x:f>
        <x:v>1105.378432198404</x:v>
      </x:c>
      <x:c r="D24" s="123"/>
      <x:c r="E24" s="123"/>
      <x:c r="F24" s="123"/>
      <x:c r="G24" s="123"/>
      <x:c r="H24" s="123"/>
      <x:c r="I24" s="123"/>
      <x:c r="J24" s="123"/>
      <x:c r="K24" s="123"/>
    </x:row>
    <x:row r="25">
      <x:c r="A25" s="123" t="str">
        <x:f>"M13"</x:f>
        <x:v>M13</x:v>
      </x:c>
      <x:c r="B25" s="137" t="n">
        <x:f>'Monthly Model'!P20</x:f>
        <x:v>14374.776453027745</x:v>
      </x:c>
      <x:c r="C25" s="137" t="n">
        <x:f>'Monthly Model'!P40</x:f>
        <x:v>2248.417115460559</x:v>
      </x:c>
      <x:c r="D25" s="123"/>
      <x:c r="E25" s="123"/>
      <x:c r="F25" s="123"/>
      <x:c r="G25" s="123"/>
      <x:c r="H25" s="123"/>
      <x:c r="I25" s="123"/>
      <x:c r="J25" s="123"/>
      <x:c r="K25" s="123"/>
    </x:row>
    <x:row r="26">
      <x:c r="A26" s="123" t="str">
        <x:f>"M14"</x:f>
        <x:v>M14</x:v>
      </x:c>
      <x:c r="B26" s="137" t="n">
        <x:f>'Monthly Model'!Q20</x:f>
        <x:v>16962.23621457274</x:v>
      </x:c>
      <x:c r="C26" s="137" t="n">
        <x:f>'Monthly Model'!Q40</x:f>
        <x:v>3619.504011673731</x:v>
      </x:c>
      <x:c r="D26" s="123"/>
      <x:c r="E26" s="123"/>
      <x:c r="F26" s="123"/>
      <x:c r="G26" s="123"/>
      <x:c r="H26" s="123"/>
      <x:c r="I26" s="123"/>
      <x:c r="J26" s="123"/>
      <x:c r="K26" s="123"/>
    </x:row>
    <x:row r="27">
      <x:c r="A27" s="123" t="str">
        <x:f>"M15"</x:f>
        <x:v>M15</x:v>
      </x:c>
      <x:c r="B27" s="137" t="n">
        <x:f>'Monthly Model'!R20</x:f>
        <x:v>20015.43873319583</x:v>
      </x:c>
      <x:c r="C27" s="137" t="n">
        <x:f>'Monthly Model'!R40</x:f>
        <x:v>5260.326862678019</x:v>
      </x:c>
      <x:c r="D27" s="123"/>
      <x:c r="E27" s="123"/>
      <x:c r="F27" s="123"/>
      <x:c r="G27" s="123"/>
      <x:c r="H27" s="123"/>
      <x:c r="I27" s="123"/>
      <x:c r="J27" s="123"/>
      <x:c r="K27" s="123"/>
    </x:row>
    <x:row r="28">
      <x:c r="A28" s="123" t="str">
        <x:f>"M16"</x:f>
        <x:v>M16</x:v>
      </x:c>
      <x:c r="B28" s="137" t="n">
        <x:f>'Monthly Model'!S20</x:f>
        <x:v>23618.21770517108</x:v>
      </x:c>
      <x:c r="C28" s="137" t="n">
        <x:f>'Monthly Model'!S40</x:f>
        <x:v>7220.09727496971</x:v>
      </x:c>
      <x:c r="D28" s="123"/>
      <x:c r="E28" s="123"/>
      <x:c r="F28" s="123"/>
      <x:c r="G28" s="123"/>
      <x:c r="H28" s="123"/>
      <x:c r="I28" s="123"/>
      <x:c r="J28" s="123"/>
      <x:c r="K28" s="123"/>
    </x:row>
    <x:row r="29">
      <x:c r="A29" s="123" t="str">
        <x:f>"M17"</x:f>
        <x:v>M17</x:v>
      </x:c>
      <x:c r="B29" s="137" t="n">
        <x:f>'Monthly Model'!T20</x:f>
        <x:v>27869.496892101874</x:v>
      </x:c>
      <x:c r="C29" s="137" t="n">
        <x:f>'Monthly Model'!T40</x:f>
        <x:v>9556.905590496557</x:v>
      </x:c>
      <x:c r="D29" s="123"/>
      <x:c r="E29" s="123"/>
      <x:c r="F29" s="123"/>
      <x:c r="G29" s="123"/>
      <x:c r="H29" s="123"/>
      <x:c r="I29" s="123"/>
      <x:c r="J29" s="123"/>
      <x:c r="K29" s="123"/>
    </x:row>
    <x:row r="30">
      <x:c r="A30" s="123" t="str">
        <x:f>"M18"</x:f>
        <x:v>M18</x:v>
      </x:c>
      <x:c r="B30" s="137" t="n">
        <x:f>'Monthly Model'!U20</x:f>
        <x:v>32886.00633268021</x:v>
      </x:c>
      <x:c r="C30" s="137" t="n">
        <x:f>'Monthly Model'!U40</x:f>
        <x:v>12339.31965226019</x:v>
      </x:c>
      <x:c r="D30" s="123"/>
      <x:c r="E30" s="123"/>
      <x:c r="F30" s="123"/>
      <x:c r="G30" s="123"/>
      <x:c r="H30" s="123"/>
      <x:c r="I30" s="123"/>
      <x:c r="J30" s="123"/>
      <x:c r="K30" s="123"/>
    </x:row>
    <x:row r="31">
      <x:c r="A31" s="123" t="str">
        <x:f>"M19"</x:f>
        <x:v>M19</x:v>
      </x:c>
      <x:c r="B31" s="137" t="n">
        <x:f>'Monthly Model'!V20</x:f>
        <x:v>38805.48747256264</x:v>
      </x:c>
      <x:c r="C31" s="137" t="n">
        <x:f>'Monthly Model'!V40</x:f>
        <x:v>15648.271366308654</x:v>
      </x:c>
      <x:c r="D31" s="123"/>
      <x:c r="E31" s="123"/>
      <x:c r="F31" s="123"/>
      <x:c r="G31" s="123"/>
      <x:c r="H31" s="123"/>
      <x:c r="I31" s="123"/>
      <x:c r="J31" s="123"/>
      <x:c r="K31" s="123"/>
    </x:row>
    <x:row r="32">
      <x:c r="A32" s="123" t="str">
        <x:f>"M20"</x:f>
        <x:v>M20</x:v>
      </x:c>
      <x:c r="B32" s="137" t="n">
        <x:f>'Monthly Model'!W20</x:f>
        <x:v>45790.47521762392</x:v>
      </x:c>
      <x:c r="C32" s="137" t="n">
        <x:f>'Monthly Model'!W40</x:f>
        <x:v>19579.282864003162</x:v>
      </x:c>
      <x:c r="D32" s="123"/>
      <x:c r="E32" s="123"/>
      <x:c r="F32" s="123"/>
      <x:c r="G32" s="123"/>
      <x:c r="H32" s="123"/>
      <x:c r="I32" s="123"/>
      <x:c r="J32" s="123"/>
      <x:c r="K32" s="123"/>
    </x:row>
    <x:row r="33">
      <x:c r="A33" s="123" t="str">
        <x:f>"M21"</x:f>
        <x:v>M21</x:v>
      </x:c>
      <x:c r="B33" s="137" t="n">
        <x:f>'Monthly Model'!X20</x:f>
        <x:v>54032.76075679622</x:v>
      </x:c>
      <x:c r="C33" s="137" t="n">
        <x:f>'Monthly Model'!X40</x:f>
        <x:v>24245.09339315896</x:v>
      </x:c>
      <x:c r="D33" s="123"/>
      <x:c r="E33" s="123"/>
      <x:c r="F33" s="123"/>
      <x:c r="G33" s="123"/>
      <x:c r="H33" s="123"/>
      <x:c r="I33" s="123"/>
      <x:c r="J33" s="123"/>
      <x:c r="K33" s="123"/>
    </x:row>
    <x:row r="34">
      <x:c r="A34" s="123" t="str">
        <x:f>"M22"</x:f>
        <x:v>M22</x:v>
      </x:c>
      <x:c r="B34" s="137" t="n">
        <x:f>'Monthly Model'!Y20</x:f>
        <x:v>63758.657693019544</x:v>
      </x:c>
      <x:c r="C34" s="137" t="n">
        <x:f>'Monthly Model'!Y40</x:f>
        <x:v>29778.75906982569</x:v>
      </x:c>
      <x:c r="D34" s="123"/>
      <x:c r="E34" s="123"/>
      <x:c r="F34" s="123"/>
      <x:c r="G34" s="123"/>
      <x:c r="H34" s="123"/>
      <x:c r="I34" s="123"/>
      <x:c r="J34" s="123"/>
      <x:c r="K34" s="123"/>
    </x:row>
    <x:row r="35">
      <x:c r="A35" s="123" t="str">
        <x:f>"M23"</x:f>
        <x:v>M23</x:v>
      </x:c>
      <x:c r="B35" s="137" t="n">
        <x:f>'Monthly Model'!Z20</x:f>
        <x:v>75235.21607776305</x:v>
      </x:c>
      <x:c r="C35" s="137" t="n">
        <x:f>'Monthly Model'!Z40</x:f>
        <x:v>36337.31060620756</x:v>
      </x:c>
      <x:c r="D35" s="123"/>
      <x:c r="E35" s="123"/>
      <x:c r="F35" s="123"/>
      <x:c r="G35" s="123"/>
      <x:c r="H35" s="123"/>
      <x:c r="I35" s="123"/>
      <x:c r="J35" s="123"/>
      <x:c r="K35" s="123"/>
    </x:row>
    <x:row r="36">
      <x:c r="A36" s="123" t="str">
        <x:f>"M24"</x:f>
        <x:v>M24</x:v>
      </x:c>
      <x:c r="B36" s="137" t="n">
        <x:f>'Monthly Model'!AA20</x:f>
        <x:v>88777.5549717604</x:v>
      </x:c>
      <x:c r="C36" s="137" t="n">
        <x:f>'Monthly Model'!AA40</x:f>
        <x:v>44106.06945103262</x:v>
      </x:c>
      <x:c r="D36" s="123"/>
      <x:c r="E36" s="123"/>
      <x:c r="F36" s="123"/>
      <x:c r="G36" s="123"/>
      <x:c r="H36" s="123"/>
      <x:c r="I36" s="123"/>
      <x:c r="J36" s="123"/>
      <x:c r="K36" s="123"/>
    </x:row>
    <x:row r="37">
      <x:c r="A37" s="123" t="str">
        <x:f>"M25"</x:f>
        <x:v>M25</x:v>
      </x:c>
      <x:c r="B37" s="137" t="n">
        <x:f>'Monthly Model'!AB20</x:f>
        <x:v>104757.51486667727</x:v>
      </x:c>
      <x:c r="C37" s="137" t="n">
        <x:f>'Monthly Model'!AB40</x:f>
        <x:v>53303.740857234094</x:v>
      </x:c>
      <x:c r="D37" s="123"/>
      <x:c r="E37" s="123"/>
      <x:c r="F37" s="123"/>
      <x:c r="G37" s="123"/>
      <x:c r="H37" s="123"/>
      <x:c r="I37" s="123"/>
      <x:c r="J37" s="123"/>
      <x:c r="K37" s="123"/>
    </x:row>
    <x:row r="38">
      <x:c r="A38" s="123" t="str">
        <x:f>"M26"</x:f>
        <x:v>M26</x:v>
      </x:c>
      <x:c r="B38" s="137" t="n">
        <x:f>'Monthly Model'!AC20</x:f>
        <x:v>123613.86754267917</x:v>
      </x:c>
      <x:c r="C38" s="137" t="n">
        <x:f>'Monthly Model'!AC40</x:f>
        <x:v>64188.42372450183</x:v>
      </x:c>
      <x:c r="D38" s="123"/>
      <x:c r="E38" s="123"/>
      <x:c r="F38" s="123"/>
      <x:c r="G38" s="123"/>
      <x:c r="H38" s="123"/>
      <x:c r="I38" s="123"/>
      <x:c r="J38" s="123"/>
      <x:c r="K38" s="123"/>
    </x:row>
    <x:row r="39">
      <x:c r="A39" s="123" t="str">
        <x:f>"M27"</x:f>
        <x:v>M27</x:v>
      </x:c>
      <x:c r="B39" s="137" t="n">
        <x:f>'Monthly Model'!AD20</x:f>
        <x:v>145864.3637003614</x:v>
      </x:c>
      <x:c r="C39" s="137" t="n">
        <x:f>'Monthly Model'!AD40</x:f>
        <x:v>77064.70223684228</x:v>
      </x:c>
      <x:c r="D39" s="123"/>
      <x:c r="E39" s="123"/>
      <x:c r="F39" s="123"/>
      <x:c r="G39" s="123"/>
      <x:c r="H39" s="123"/>
      <x:c r="I39" s="123"/>
      <x:c r="J39" s="123"/>
      <x:c r="K39" s="123"/>
    </x:row>
    <x:row r="40">
      <x:c r="A40" s="123" t="str">
        <x:f>"M28"</x:f>
        <x:v>M28</x:v>
      </x:c>
      <x:c r="B40" s="137" t="n">
        <x:f>'Monthly Model'!AE20</x:f>
        <x:v>172119.94916642646</x:v>
      </x:c>
      <x:c r="C40" s="137" t="n">
        <x:f>'Monthly Model'!AE40</x:f>
        <x:v>92292.01401893026</x:v>
      </x:c>
      <x:c r="D40" s="123"/>
      <x:c r="E40" s="123"/>
      <x:c r="F40" s="123"/>
      <x:c r="G40" s="123"/>
      <x:c r="H40" s="123"/>
      <x:c r="I40" s="123"/>
      <x:c r="J40" s="123"/>
      <x:c r="K40" s="123"/>
    </x:row>
    <x:row r="41">
      <x:c r="A41" s="123" t="str">
        <x:f>"M29"</x:f>
        <x:v>M29</x:v>
      </x:c>
      <x:c r="B41" s="137" t="n">
        <x:f>'Monthly Model'!AF20</x:f>
        <x:v>203101.54001638322</x:v>
      </x:c>
      <x:c r="C41" s="137" t="n">
        <x:f>'Monthly Model'!AF40</x:f>
        <x:v>110294.52458533796</x:v>
      </x:c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23" t="str">
        <x:f>"M30"</x:f>
        <x:v>M30</x:v>
      </x:c>
      <x:c r="B42" s="137" t="n">
        <x:f>'Monthly Model'!AG20</x:f>
        <x:v>239659.81721933218</x:v>
      </x:c>
      <x:c r="C42" s="137" t="n">
        <x:f>'Monthly Model'!AG40</x:f>
        <x:v>131572.7792160845</x:v>
      </x:c>
      <x:c r="D42" s="123"/>
      <x:c r="E42" s="123"/>
      <x:c r="F42" s="123"/>
      <x:c r="G42" s="123"/>
      <x:c r="H42" s="123"/>
      <x:c r="I42" s="123"/>
      <x:c r="J42" s="123"/>
      <x:c r="K42" s="123"/>
    </x:row>
    <x:row r="43">
      <x:c r="A43" s="123" t="str">
        <x:f>"M31"</x:f>
        <x:v>M31</x:v>
      </x:c>
      <x:c r="B43" s="137" t="n">
        <x:f>'Monthly Model'!AH20</x:f>
        <x:v>282798.58431881195</x:v>
      </x:c>
      <x:c r="C43" s="137" t="n">
        <x:f>'Monthly Model'!AH40</x:f>
        <x:v>156717.4521959896</x:v>
      </x:c>
      <x:c r="D43" s="123"/>
      <x:c r="E43" s="123"/>
      <x:c r="F43" s="123"/>
      <x:c r="G43" s="123"/>
      <x:c r="H43" s="123"/>
      <x:c r="I43" s="123"/>
      <x:c r="J43" s="123"/>
      <x:c r="K43" s="123"/>
    </x:row>
    <x:row r="44">
      <x:c r="A44" s="123" t="str">
        <x:f>"M32"</x:f>
        <x:v>M32</x:v>
      </x:c>
      <x:c r="B44" s="137" t="n">
        <x:f>'Monthly Model'!AI20</x:f>
        <x:v>333702.32949619816</x:v>
      </x:c>
      <x:c r="C44" s="137" t="n">
        <x:f>'Monthly Model'!AI40</x:f>
        <x:v>186425.57094408668</x:v>
      </x:c>
      <x:c r="D44" s="123"/>
      <x:c r="E44" s="123"/>
      <x:c r="F44" s="123"/>
      <x:c r="G44" s="123"/>
      <x:c r="H44" s="123"/>
      <x:c r="I44" s="123"/>
      <x:c r="J44" s="123"/>
      <x:c r="K44" s="123"/>
    </x:row>
    <x:row r="45">
      <x:c r="A45" s="123" t="str">
        <x:f>"M33"</x:f>
        <x:v>M33</x:v>
      </x:c>
      <x:c r="B45" s="137" t="n">
        <x:f>'Monthly Model'!AJ20</x:f>
        <x:v>393768.7488055137</x:v>
      </x:c>
      <x:c r="C45" s="137" t="n">
        <x:f>'Monthly Model'!AJ40</x:f>
        <x:v>221519.66051409897</x:v>
      </x:c>
      <x:c r="D45" s="123"/>
      <x:c r="E45" s="123"/>
      <x:c r="F45" s="123"/>
      <x:c r="G45" s="123"/>
      <x:c r="H45" s="123"/>
      <x:c r="I45" s="123"/>
      <x:c r="J45" s="123"/>
      <x:c r="K45" s="123"/>
    </x:row>
    <x:row r="46">
      <x:c r="A46" s="123" t="str">
        <x:f>"M34"</x:f>
        <x:v>M34</x:v>
      </x:c>
      <x:c r="B46" s="137" t="n">
        <x:f>'Monthly Model'!AK20</x:f>
        <x:v>464647.12359050615</x:v>
      </x:c>
      <x:c r="C46" s="137" t="n">
        <x:f>'Monthly Model'!AK40</x:f>
        <x:v>262970.33413358906</x:v>
      </x:c>
      <x:c r="D46" s="123"/>
      <x:c r="E46" s="123"/>
      <x:c r="F46" s="123"/>
      <x:c r="G46" s="123"/>
      <x:c r="H46" s="123"/>
      <x:c r="I46" s="123"/>
      <x:c r="J46" s="123"/>
      <x:c r="K46" s="123"/>
    </x:row>
    <x:row r="47">
      <x:c r="A47" s="123" t="str">
        <x:f>"M35"</x:f>
        <x:v>M35</x:v>
      </x:c>
      <x:c r="B47" s="137" t="n">
        <x:f>'Monthly Model'!AL20</x:f>
        <x:v>548283.6058367973</x:v>
      </x:c>
      <x:c r="C47" s="137" t="n">
        <x:f>'Monthly Model'!AL40</x:f>
        <x:v>311922.95006958285</x:v>
      </x:c>
      <x:c r="D47" s="123"/>
      <x:c r="E47" s="123"/>
      <x:c r="F47" s="123"/>
      <x:c r="G47" s="123"/>
      <x:c r="H47" s="123"/>
      <x:c r="I47" s="123"/>
      <x:c r="J47" s="123"/>
      <x:c r="K47" s="123"/>
    </x:row>
    <x:row r="48">
      <x:c r="A48" s="123" t="str">
        <x:f>"M36"</x:f>
        <x:v>M36</x:v>
      </x:c>
      <x:c r="B48" s="137" t="n">
        <x:f>'Monthly Model'!AM20</x:f>
        <x:v>646974.6548874207</x:v>
      </x:c>
      <x:c r="C48" s="137" t="n">
        <x:f>'Monthly Model'!AM40</x:f>
        <x:v>369729.0667603052</x:v>
      </x:c>
      <x:c r="D48" s="123"/>
      <x:c r="E48" s="123"/>
      <x:c r="F48" s="123"/>
      <x:c r="G48" s="123"/>
      <x:c r="H48" s="123"/>
      <x:c r="I48" s="123"/>
      <x:c r="J48" s="123"/>
      <x:c r="K48" s="123"/>
    </x:row>
  </x:sheetData>
  <x:mergeCells>
    <x:mergeCell ref="A1:K1"/>
    <x:mergeCell ref="A2:H2"/>
  </x:mergeCells>
  <x:pageMargins left="0.7" right="0.7" top="0.75" bottom="0.75" header="0.3" footer="0.3"/>
  <x:drawing xmlns:r="http://schemas.openxmlformats.org/officeDocument/2006/relationships" r:id="R3bc543d6ea054a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5" hidden="0" customWidth="1"/>
    <x:col min="3" max="3" width="15" hidden="0" customWidth="1"/>
    <x:col min="4" max="4" width="18.75" hidden="0" customWidth="1"/>
    <x:col min="5" max="5" width="18.75" hidden="0" customWidth="1"/>
    <x:col min="6" max="6" width="22.5" hidden="0" customWidth="1"/>
    <x:col min="7" max="7" width="25" hidden="0" customWidth="1"/>
    <x:col min="8" max="8" width="27.5" hidden="0" customWidth="1"/>
  </x:cols>
  <x:sheetData>
    <x:row r="1" ht="31.5" customHeight="1">
      <x:c r="A1" s="122" t="str">
        <x:v>AIntern Business Model - Assumptions (MYR)</x:v>
      </x:c>
      <x:c r="B1" s="122" t="str">
        <x:v>AIntern Business Model - Assumptions (MYR)</x:v>
      </x:c>
      <x:c r="C1" s="122" t="str">
        <x:v>AIntern Business Model - Assumptions (MYR)</x:v>
      </x:c>
      <x:c r="D1" s="122" t="str">
        <x:v>AIntern Business Model - Assumptions (MYR)</x:v>
      </x:c>
      <x:c r="E1" s="122" t="str">
        <x:v>AIntern Business Model - Assumptions (MYR)</x:v>
      </x:c>
      <x:c r="F1" s="122" t="str">
        <x:v>AIntern Business Model - Assumptions (MYR)</x:v>
      </x:c>
      <x:c r="G1" s="122" t="str">
        <x:v>AIntern Business Model - Assumptions (MYR)</x:v>
      </x:c>
      <x:c r="H1" s="122" t="str">
        <x:v>AIntern Business Model - Assumptions (MYR)</x:v>
      </x:c>
    </x:row>
    <x:row r="2">
      <x:c r="A2" s="103" t="str">
        <x:v>Editable cells are blue text with yellow fill. Update these to test pricing, adoption, AI costs, and operating plan scenarios.</x:v>
      </x:c>
      <x:c r="B2" s="123"/>
      <x:c r="C2" s="123"/>
      <x:c r="D2" s="123"/>
      <x:c r="E2" s="123"/>
      <x:c r="F2" s="123"/>
      <x:c r="G2" s="123"/>
      <x:c r="H2" s="123"/>
    </x:row>
    <x:row r="3">
      <x:c r="A3" s="123"/>
      <x:c r="B3" s="123"/>
      <x:c r="C3" s="123"/>
      <x:c r="D3" s="123"/>
      <x:c r="E3" s="123"/>
      <x:c r="F3" s="123"/>
      <x:c r="G3" s="123"/>
      <x:c r="H3" s="123"/>
    </x:row>
    <x:row r="4">
      <x:c r="A4" s="105" t="str">
        <x:v>Category</x:v>
      </x:c>
      <x:c r="B4" s="106" t="str">
        <x:v>Assumption</x:v>
      </x:c>
      <x:c r="C4" s="106" t="str">
        <x:v>Base Case</x:v>
      </x:c>
      <x:c r="D4" s="106" t="str">
        <x:v>Bear Case</x:v>
      </x:c>
      <x:c r="E4" s="106" t="str">
        <x:v>Bull Case</x:v>
      </x:c>
      <x:c r="F4" s="106" t="str">
        <x:v>Unit</x:v>
      </x:c>
      <x:c r="G4" s="106" t="str">
        <x:v>Source / Rationale</x:v>
      </x:c>
      <x:c r="H4" s="107" t="str">
        <x:v>Notes</x:v>
      </x:c>
    </x:row>
    <x:row r="5">
      <x:c r="A5" s="123" t="str">
        <x:v>Model</x:v>
      </x:c>
      <x:c r="B5" s="123" t="str">
        <x:v>Forecast months</x:v>
      </x:c>
      <x:c r="C5" s="138" t="n">
        <x:v>36</x:v>
      </x:c>
      <x:c r="D5" s="139" t="n">
        <x:v>36</x:v>
      </x:c>
      <x:c r="E5" s="140" t="n">
        <x:v>36</x:v>
      </x:c>
      <x:c r="F5" s="123" t="str">
        <x:v>months</x:v>
      </x:c>
      <x:c r="G5" s="123" t="str">
        <x:v>Management assumption</x:v>
      </x:c>
      <x:c r="H5" s="123" t="str">
        <x:v>Monthly model uses 36-month forecast.</x:v>
      </x:c>
    </x:row>
    <x:row r="6">
      <x:c r="A6" s="123" t="str">
        <x:v>Pricing</x:v>
      </x:c>
      <x:c r="B6" s="123" t="str">
        <x:v>3-month internship pass</x:v>
      </x:c>
      <x:c r="C6" s="141" t="n">
        <x:v>49</x:v>
      </x:c>
      <x:c r="D6" s="142" t="n">
        <x:v>39</x:v>
      </x:c>
      <x:c r="E6" s="143" t="n">
        <x:v>59</x:v>
      </x:c>
      <x:c r="F6" s="123" t="str">
        <x:v>MYR/pass</x:v>
      </x:c>
      <x:c r="G6" s="123" t="str">
        <x:v>AIntern pricing assumption</x:v>
      </x:c>
      <x:c r="H6" s="123" t="str">
        <x:v>Intern-paid B2C one-time pass.</x:v>
      </x:c>
    </x:row>
    <x:row r="7">
      <x:c r="A7" s="123" t="str">
        <x:v>Pricing</x:v>
      </x:c>
      <x:c r="B7" s="123" t="str">
        <x:v>6-month internship pass</x:v>
      </x:c>
      <x:c r="C7" s="141" t="n">
        <x:v>79</x:v>
      </x:c>
      <x:c r="D7" s="142" t="n">
        <x:v>69</x:v>
      </x:c>
      <x:c r="E7" s="143" t="n">
        <x:v>99</x:v>
      </x:c>
      <x:c r="F7" s="123" t="str">
        <x:v>MYR/pass</x:v>
      </x:c>
      <x:c r="G7" s="123" t="str">
        <x:v>AIntern pricing assumption</x:v>
      </x:c>
      <x:c r="H7" s="123" t="str">
        <x:v>Longer internship option.</x:v>
      </x:c>
    </x:row>
    <x:row r="8">
      <x:c r="A8" s="123" t="str">
        <x:v>Pricing</x:v>
      </x:c>
      <x:c r="B8" s="123" t="str">
        <x:v>Bundled AI upgrade</x:v>
      </x:c>
      <x:c r="C8" s="141" t="n">
        <x:v>19</x:v>
      </x:c>
      <x:c r="D8" s="142" t="n">
        <x:v>15</x:v>
      </x:c>
      <x:c r="E8" s="143" t="n">
        <x:v>25</x:v>
      </x:c>
      <x:c r="F8" s="123" t="str">
        <x:v>MYR/pass</x:v>
      </x:c>
      <x:c r="G8" s="123" t="str">
        <x:v>AIntern pricing assumption</x:v>
      </x:c>
      <x:c r="H8" s="123" t="str">
        <x:v>Optional upgrade; BYOK remains available.</x:v>
      </x:c>
    </x:row>
    <x:row r="9">
      <x:c r="A9" s="123" t="str">
        <x:v>Mix</x:v>
      </x:c>
      <x:c r="B9" s="123" t="str">
        <x:v>3-month pass mix</x:v>
      </x:c>
      <x:c r="C9" s="144" t="n">
        <x:v>0.6</x:v>
      </x:c>
      <x:c r="D9" s="145" t="n">
        <x:v>0.65</x:v>
      </x:c>
      <x:c r="E9" s="146" t="n">
        <x:v>0.5</x:v>
      </x:c>
      <x:c r="F9" s="123" t="str">
        <x:v>%</x:v>
      </x:c>
      <x:c r="G9" s="123" t="str">
        <x:v>Management assumption</x:v>
      </x:c>
      <x:c r="H9" s="123" t="str">
        <x:v>Remaining paid users take 6-month pass.</x:v>
      </x:c>
    </x:row>
    <x:row r="10">
      <x:c r="A10" s="123" t="str">
        <x:v>Mix</x:v>
      </x:c>
      <x:c r="B10" s="123" t="str">
        <x:v>Bundled AI attach rate</x:v>
      </x:c>
      <x:c r="C10" s="144" t="n">
        <x:v>0.25</x:v>
      </x:c>
      <x:c r="D10" s="145" t="n">
        <x:v>0.15</x:v>
      </x:c>
      <x:c r="E10" s="146" t="n">
        <x:v>0.35</x:v>
      </x:c>
      <x:c r="F10" s="123" t="str">
        <x:v>%</x:v>
      </x:c>
      <x:c r="G10" s="123" t="str">
        <x:v>Management assumption</x:v>
      </x:c>
      <x:c r="H10" s="123" t="str">
        <x:v>Share of paid users buying bundled AI.</x:v>
      </x:c>
    </x:row>
    <x:row r="11">
      <x:c r="A11" s="123" t="str">
        <x:v>Growth</x:v>
      </x:c>
      <x:c r="B11" s="123" t="str">
        <x:v>Month 1 new paid users</x:v>
      </x:c>
      <x:c r="C11" s="147" t="n">
        <x:v>30</x:v>
      </x:c>
      <x:c r="D11" s="148" t="n">
        <x:v>15</x:v>
      </x:c>
      <x:c r="E11" s="149" t="n">
        <x:v>60</x:v>
      </x:c>
      <x:c r="F11" s="123" t="str">
        <x:v>users</x:v>
      </x:c>
      <x:c r="G11" s="123" t="str">
        <x:v>Pilot launch assumption</x:v>
      </x:c>
      <x:c r="H11" s="123" t="str">
        <x:v>Paid users acquired in first month.</x:v>
      </x:c>
    </x:row>
    <x:row r="12">
      <x:c r="A12" s="123" t="str">
        <x:v>Growth</x:v>
      </x:c>
      <x:c r="B12" s="123" t="str">
        <x:v>Monthly new paid user growth</x:v>
      </x:c>
      <x:c r="C12" s="144" t="n">
        <x:v>0.18</x:v>
      </x:c>
      <x:c r="D12" s="145" t="n">
        <x:v>0.1</x:v>
      </x:c>
      <x:c r="E12" s="146" t="n">
        <x:v>0.25</x:v>
      </x:c>
      <x:c r="F12" s="123" t="str">
        <x:v>%</x:v>
      </x:c>
      <x:c r="G12" s="123" t="str">
        <x:v>Management assumption</x:v>
      </x:c>
      <x:c r="H12" s="123" t="str">
        <x:v>Growth in new paid pass purchases.</x:v>
      </x:c>
    </x:row>
    <x:row r="13">
      <x:c r="A13" s="123" t="str">
        <x:v>Growth</x:v>
      </x:c>
      <x:c r="B13" s="123" t="str">
        <x:v>Monthly churn / refund leakage</x:v>
      </x:c>
      <x:c r="C13" s="144" t="n">
        <x:v>0.03</x:v>
      </x:c>
      <x:c r="D13" s="145" t="n">
        <x:v>0.05</x:v>
      </x:c>
      <x:c r="E13" s="146" t="n">
        <x:v>0.02</x:v>
      </x:c>
      <x:c r="F13" s="123" t="str">
        <x:v>%</x:v>
      </x:c>
      <x:c r="G13" s="123" t="str">
        <x:v>Management assumption</x:v>
      </x:c>
      <x:c r="H13" s="123" t="str">
        <x:v>Applied to active paid users for conservative leakage.</x:v>
      </x:c>
    </x:row>
    <x:row r="14">
      <x:c r="A14" s="123" t="str">
        <x:v>Marketing</x:v>
      </x:c>
      <x:c r="B14" s="123" t="str">
        <x:v>CAC per paid user</x:v>
      </x:c>
      <x:c r="C14" s="141" t="n">
        <x:v>18</x:v>
      </x:c>
      <x:c r="D14" s="142" t="n">
        <x:v>28</x:v>
      </x:c>
      <x:c r="E14" s="143" t="n">
        <x:v>12</x:v>
      </x:c>
      <x:c r="F14" s="123" t="str">
        <x:v>MYR/user</x:v>
      </x:c>
      <x:c r="G14" s="123" t="str">
        <x:v>Management assumption</x:v>
      </x:c>
      <x:c r="H14" s="123" t="str">
        <x:v>Paid acquisition blended with referrals/content.</x:v>
      </x:c>
    </x:row>
    <x:row r="15">
      <x:c r="A15" s="123" t="str">
        <x:v>COGS</x:v>
      </x:c>
      <x:c r="B15" s="123" t="str">
        <x:v>Payment processing rate</x:v>
      </x:c>
      <x:c r="C15" s="144" t="n">
        <x:v>0.035</x:v>
      </x:c>
      <x:c r="D15" s="145" t="n">
        <x:v>0.04</x:v>
      </x:c>
      <x:c r="E15" s="146" t="n">
        <x:v>0.03</x:v>
      </x:c>
      <x:c r="F15" s="123" t="str">
        <x:v>% revenue</x:v>
      </x:c>
      <x:c r="G15" s="123" t="str">
        <x:v>Editable payment fee assumption</x:v>
      </x:c>
      <x:c r="H15" s="123" t="str">
        <x:v>Keep editable because provider fees vary.</x:v>
      </x:c>
    </x:row>
    <x:row r="16">
      <x:c r="A16" s="123" t="str">
        <x:v>COGS</x:v>
      </x:c>
      <x:c r="B16" s="123" t="str">
        <x:v>Fixed payment fee</x:v>
      </x:c>
      <x:c r="C16" s="141" t="n">
        <x:v>1</x:v>
      </x:c>
      <x:c r="D16" s="142" t="n">
        <x:v>1.2</x:v>
      </x:c>
      <x:c r="E16" s="143" t="n">
        <x:v>0.8</x:v>
      </x:c>
      <x:c r="F16" s="123" t="str">
        <x:v>MYR/transaction</x:v>
      </x:c>
      <x:c r="G16" s="123" t="str">
        <x:v>Editable payment fee assumption</x:v>
      </x:c>
      <x:c r="H16" s="123" t="str">
        <x:v>Per paid pass transaction.</x:v>
      </x:c>
    </x:row>
    <x:row r="17">
      <x:c r="A17" s="123" t="str">
        <x:v>COGS</x:v>
      </x:c>
      <x:c r="B17" s="123" t="str">
        <x:v>AI cost per bundled AI user</x:v>
      </x:c>
      <x:c r="C17" s="141" t="n">
        <x:v>5</x:v>
      </x:c>
      <x:c r="D17" s="142" t="n">
        <x:v>8</x:v>
      </x:c>
      <x:c r="E17" s="143" t="n">
        <x:v>3.5</x:v>
      </x:c>
      <x:c r="F17" s="123" t="str">
        <x:v>MYR/user</x:v>
      </x:c>
      <x:c r="G17" s="123" t="str">
        <x:v>Management assumption</x:v>
      </x:c>
      <x:c r="H17" s="123" t="str">
        <x:v>Covers monthly prompt usage; tune after telemetry.</x:v>
      </x:c>
    </x:row>
    <x:row r="18">
      <x:c r="A18" s="123" t="str">
        <x:v>COGS</x:v>
      </x:c>
      <x:c r="B18" s="123" t="str">
        <x:v>Infrastructure per active user</x:v>
      </x:c>
      <x:c r="C18" s="141" t="n">
        <x:v>0.8</x:v>
      </x:c>
      <x:c r="D18" s="142" t="n">
        <x:v>1.2</x:v>
      </x:c>
      <x:c r="E18" s="143" t="n">
        <x:v>0.6</x:v>
      </x:c>
      <x:c r="F18" s="123" t="str">
        <x:v>MYR/user/month</x:v>
      </x:c>
      <x:c r="G18" s="123" t="str">
        <x:v>Management assumption</x:v>
      </x:c>
      <x:c r="H18" s="123" t="str">
        <x:v>Supabase, Vercel, storage, email envelope.</x:v>
      </x:c>
    </x:row>
    <x:row r="19">
      <x:c r="A19" s="123" t="str">
        <x:v>Team</x:v>
      </x:c>
      <x:c r="B19" s="123" t="str">
        <x:v>Founder/developer salary month 1</x:v>
      </x:c>
      <x:c r="C19" s="141" t="n">
        <x:v>3500</x:v>
      </x:c>
      <x:c r="D19" s="142" t="n">
        <x:v>3000</x:v>
      </x:c>
      <x:c r="E19" s="143" t="n">
        <x:v>5000</x:v>
      </x:c>
      <x:c r="F19" s="123" t="str">
        <x:v>MYR/month</x:v>
      </x:c>
      <x:c r="G19" s="123" t="str">
        <x:v>Management assumption</x:v>
      </x:c>
      <x:c r="H19" s="123" t="str">
        <x:v>Can be zero if sweat equity.</x:v>
      </x:c>
    </x:row>
    <x:row r="20">
      <x:c r="A20" s="123" t="str">
        <x:v>Team</x:v>
      </x:c>
      <x:c r="B20" s="123" t="str">
        <x:v>Monthly team cost ramp</x:v>
      </x:c>
      <x:c r="C20" s="144" t="n">
        <x:v>0.03</x:v>
      </x:c>
      <x:c r="D20" s="145" t="n">
        <x:v>0.02</x:v>
      </x:c>
      <x:c r="E20" s="146" t="n">
        <x:v>0.05</x:v>
      </x:c>
      <x:c r="F20" s="123" t="str">
        <x:v>%</x:v>
      </x:c>
      <x:c r="G20" s="123" t="str">
        <x:v>Management assumption</x:v>
      </x:c>
      <x:c r="H20" s="123" t="str">
        <x:v>Hiring/support ramp.</x:v>
      </x:c>
    </x:row>
    <x:row r="21">
      <x:c r="A21" s="123" t="str">
        <x:v>Opex</x:v>
      </x:c>
      <x:c r="B21" s="123" t="str">
        <x:v>Base tools/admin/legal</x:v>
      </x:c>
      <x:c r="C21" s="141" t="n">
        <x:v>700</x:v>
      </x:c>
      <x:c r="D21" s="142" t="n">
        <x:v>500</x:v>
      </x:c>
      <x:c r="E21" s="143" t="n">
        <x:v>1200</x:v>
      </x:c>
      <x:c r="F21" s="123" t="str">
        <x:v>MYR/month</x:v>
      </x:c>
      <x:c r="G21" s="123" t="str">
        <x:v>Management assumption</x:v>
      </x:c>
      <x:c r="H21" s="123" t="str">
        <x:v>Software, domain, accounting, legal/admin.</x:v>
      </x:c>
    </x:row>
    <x:row r="22">
      <x:c r="A22" s="123" t="str">
        <x:v>Opex</x:v>
      </x:c>
      <x:c r="B22" s="123" t="str">
        <x:v>Monthly marketing base</x:v>
      </x:c>
      <x:c r="C22" s="141" t="n">
        <x:v>600</x:v>
      </x:c>
      <x:c r="D22" s="142" t="n">
        <x:v>300</x:v>
      </x:c>
      <x:c r="E22" s="143" t="n">
        <x:v>1200</x:v>
      </x:c>
      <x:c r="F22" s="123" t="str">
        <x:v>MYR/month</x:v>
      </x:c>
      <x:c r="G22" s="123" t="str">
        <x:v>Management assumption</x:v>
      </x:c>
      <x:c r="H22" s="123" t="str">
        <x:v>Content, ads, campus campaigns.</x:v>
      </x:c>
    </x:row>
    <x:row r="23">
      <x:c r="A23" s="123" t="str">
        <x:v>Finance</x:v>
      </x:c>
      <x:c r="B23" s="123" t="str">
        <x:v>Starting cash</x:v>
      </x:c>
      <x:c r="C23" s="141" t="n">
        <x:v>10000</x:v>
      </x:c>
      <x:c r="D23" s="142" t="n">
        <x:v>5000</x:v>
      </x:c>
      <x:c r="E23" s="143" t="n">
        <x:v>25000</x:v>
      </x:c>
      <x:c r="F23" s="123" t="str">
        <x:v>MYR</x:v>
      </x:c>
      <x:c r="G23" s="123" t="str">
        <x:v>Management assumption</x:v>
      </x:c>
      <x:c r="H23" s="123" t="str">
        <x:v>Cash before model month 1.</x:v>
      </x:c>
    </x:row>
    <x:row r="24">
      <x:c r="A24" s="123" t="str">
        <x:v>Finance</x:v>
      </x:c>
      <x:c r="B24" s="123" t="str">
        <x:v>Tax rate</x:v>
      </x:c>
      <x:c r="C24" s="150" t="n">
        <x:v>0</x:v>
      </x:c>
      <x:c r="D24" s="151" t="n">
        <x:v>0</x:v>
      </x:c>
      <x:c r="E24" s="152" t="n">
        <x:v>0</x:v>
      </x:c>
      <x:c r="F24" s="123" t="str">
        <x:v>%</x:v>
      </x:c>
      <x:c r="G24" s="123" t="str">
        <x:v>Pre-tax pilot simplification</x:v>
      </x:c>
      <x:c r="H24" s="123" t="str">
        <x:v>Set later when tax planning is ready.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12a1d730fda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0" hidden="0" customWidth="1"/>
    <x:col min="3" max="3" width="21.25" hidden="0" customWidth="1"/>
    <x:col min="4" max="4" width="10.75" hidden="0" customWidth="1"/>
    <x:col min="5" max="5" width="10.75" hidden="0" customWidth="1"/>
    <x:col min="6" max="6" width="10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10.75" hidden="0" customWidth="1"/>
    <x:col min="11" max="11" width="10.7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0.75" hidden="0" customWidth="1"/>
    <x:col min="23" max="23" width="10.75" hidden="0" customWidth="1"/>
    <x:col min="24" max="24" width="10.75" hidden="0" customWidth="1"/>
    <x:col min="25" max="25" width="10.75" hidden="0" customWidth="1"/>
    <x:col min="26" max="26" width="10.75" hidden="0" customWidth="1"/>
    <x:col min="27" max="27" width="10.75" hidden="0" customWidth="1"/>
    <x:col min="28" max="28" width="10.75" hidden="0" customWidth="1"/>
    <x:col min="29" max="29" width="10.75" hidden="0" customWidth="1"/>
    <x:col min="30" max="30" width="10.75" hidden="0" customWidth="1"/>
    <x:col min="31" max="31" width="10.75" hidden="0" customWidth="1"/>
    <x:col min="32" max="32" width="10.75" hidden="0" customWidth="1"/>
    <x:col min="33" max="33" width="10.75" hidden="0" customWidth="1"/>
    <x:col min="34" max="34" width="10.75" hidden="0" customWidth="1"/>
    <x:col min="35" max="35" width="10.75" hidden="0" customWidth="1"/>
    <x:col min="36" max="36" width="10.75" hidden="0" customWidth="1"/>
    <x:col min="37" max="37" width="10.75" hidden="0" customWidth="1"/>
    <x:col min="38" max="38" width="10.75" hidden="0" customWidth="1"/>
    <x:col min="39" max="39" width="10.75" hidden="0" customWidth="1"/>
  </x:cols>
  <x:sheetData>
    <x:row r="1" ht="31.5" customHeight="1">
      <x:c r="A1" s="122" t="str">
        <x:v>AIntern Monthly Operating Model (MYR)</x:v>
      </x:c>
      <x:c r="B1" s="122" t="str">
        <x:v>AIntern Monthly Operating Model (MYR)</x:v>
      </x:c>
      <x:c r="C1" s="122" t="str">
        <x:v>AIntern Monthly Operating Model (MYR)</x:v>
      </x:c>
      <x:c r="D1" s="122" t="str">
        <x:v>AIntern Monthly Operating Model (MYR)</x:v>
      </x:c>
      <x:c r="E1" s="122" t="str">
        <x:v>AIntern Monthly Operating Model (MYR)</x:v>
      </x:c>
      <x:c r="F1" s="122" t="str">
        <x:v>AIntern Monthly Operating Model (MYR)</x:v>
      </x:c>
      <x:c r="G1" s="122" t="str">
        <x:v>AIntern Monthly Operating Model (MYR)</x:v>
      </x:c>
      <x:c r="H1" s="122" t="str">
        <x:v>AIntern Monthly Operating Model (MYR)</x:v>
      </x:c>
      <x:c r="I1" s="122" t="str">
        <x:v>AIntern Monthly Operating Model (MYR)</x:v>
      </x:c>
      <x:c r="J1" s="122" t="str">
        <x:v>AIntern Monthly Operating Model (MYR)</x:v>
      </x:c>
      <x:c r="K1" s="122" t="str">
        <x:v>AIntern Monthly Operating Model (MYR)</x:v>
      </x:c>
      <x:c r="L1" s="122" t="str">
        <x:v>AIntern Monthly Operating Model (MYR)</x:v>
      </x:c>
      <x:c r="M1" s="122" t="str">
        <x:v>AIntern Monthly Operating Model (MYR)</x:v>
      </x:c>
      <x:c r="N1" s="122" t="str">
        <x:v>AIntern Monthly Operating Model (MYR)</x:v>
      </x:c>
      <x:c r="O1" s="122" t="str">
        <x:v>AIntern Monthly Operating Model (MYR)</x:v>
      </x:c>
      <x:c r="P1" s="122" t="str">
        <x:v>AIntern Monthly Operating Model (MYR)</x:v>
      </x:c>
      <x:c r="Q1" s="122" t="str">
        <x:v>AIntern Monthly Operating Model (MYR)</x:v>
      </x:c>
      <x:c r="R1" s="122" t="str">
        <x:v>AIntern Monthly Operating Model (MYR)</x:v>
      </x:c>
      <x:c r="S1" s="122" t="str">
        <x:v>AIntern Monthly Operating Model (MYR)</x:v>
      </x:c>
      <x:c r="T1" s="122" t="str">
        <x:v>AIntern Monthly Operating Model (MYR)</x:v>
      </x:c>
      <x:c r="U1" s="122" t="str">
        <x:v>AIntern Monthly Operating Model (MYR)</x:v>
      </x:c>
      <x:c r="V1" s="122" t="str">
        <x:v>AIntern Monthly Operating Model (MYR)</x:v>
      </x:c>
      <x:c r="W1" s="122" t="str">
        <x:v>AIntern Monthly Operating Model (MYR)</x:v>
      </x:c>
      <x:c r="X1" s="122" t="str">
        <x:v>AIntern Monthly Operating Model (MYR)</x:v>
      </x:c>
      <x:c r="Y1" s="122" t="str">
        <x:v>AIntern Monthly Operating Model (MYR)</x:v>
      </x:c>
      <x:c r="Z1" s="122" t="str">
        <x:v>AIntern Monthly Operating Model (MYR)</x:v>
      </x:c>
      <x:c r="AA1" s="122" t="str">
        <x:v>AIntern Monthly Operating Model (MYR)</x:v>
      </x:c>
      <x:c r="AB1" s="122" t="str">
        <x:v>AIntern Monthly Operating Model (MYR)</x:v>
      </x:c>
      <x:c r="AC1" s="122" t="str">
        <x:v>AIntern Monthly Operating Model (MYR)</x:v>
      </x:c>
      <x:c r="AD1" s="122" t="str">
        <x:v>AIntern Monthly Operating Model (MYR)</x:v>
      </x:c>
      <x:c r="AE1" s="122" t="str">
        <x:v>AIntern Monthly Operating Model (MYR)</x:v>
      </x:c>
      <x:c r="AF1" s="122" t="str">
        <x:v>AIntern Monthly Operating Model (MYR)</x:v>
      </x:c>
      <x:c r="AG1" s="122" t="str">
        <x:v>AIntern Monthly Operating Model (MYR)</x:v>
      </x:c>
      <x:c r="AH1" s="122" t="str">
        <x:v>AIntern Monthly Operating Model (MYR)</x:v>
      </x:c>
      <x:c r="AI1" s="122" t="str">
        <x:v>AIntern Monthly Operating Model (MYR)</x:v>
      </x:c>
      <x:c r="AJ1" s="122" t="str">
        <x:v>AIntern Monthly Operating Model (MYR)</x:v>
      </x:c>
      <x:c r="AK1" s="122" t="str">
        <x:v>AIntern Monthly Operating Model (MYR)</x:v>
      </x:c>
      <x:c r="AL1" s="122" t="str">
        <x:v>AIntern Monthly Operating Model (MYR)</x:v>
      </x:c>
      <x:c r="AM1" s="122" t="str">
        <x:v>AIntern Monthly Operating Model (MYR)</x:v>
      </x:c>
      <x:c r="AN1" s="122" t="str">
        <x:v>AIntern Monthly Operating Model (MYR)</x:v>
      </x:c>
    </x:row>
    <x:row r="2">
      <x:c r="A2" s="103" t="str">
        <x:v>Formula-driven 36-month model. Inputs link to Assumptions Base Case.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  <x:c r="AA2" s="123"/>
      <x:c r="AB2" s="123"/>
      <x:c r="AC2" s="123"/>
      <x:c r="AD2" s="123"/>
      <x:c r="AE2" s="123"/>
      <x:c r="AF2" s="123"/>
      <x:c r="AG2" s="123"/>
      <x:c r="AH2" s="123"/>
      <x:c r="AI2" s="123"/>
      <x:c r="AJ2" s="123"/>
      <x:c r="AK2" s="123"/>
      <x:c r="AL2" s="123"/>
      <x:c r="AM2" s="123"/>
      <x:c r="AN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  <x:c r="P3" s="123"/>
      <x:c r="Q3" s="123"/>
      <x:c r="R3" s="123"/>
      <x:c r="S3" s="123"/>
      <x:c r="T3" s="123"/>
      <x:c r="U3" s="123"/>
      <x:c r="V3" s="123"/>
      <x:c r="W3" s="123"/>
      <x:c r="X3" s="123"/>
      <x:c r="Y3" s="123"/>
      <x:c r="Z3" s="123"/>
      <x:c r="AA3" s="123"/>
      <x:c r="AB3" s="123"/>
      <x:c r="AC3" s="123"/>
      <x:c r="AD3" s="123"/>
      <x:c r="AE3" s="123"/>
      <x:c r="AF3" s="123"/>
      <x:c r="AG3" s="123"/>
      <x:c r="AH3" s="123"/>
      <x:c r="AI3" s="123"/>
      <x:c r="AJ3" s="123"/>
      <x:c r="AK3" s="123"/>
      <x:c r="AL3" s="123"/>
      <x:c r="AM3" s="123"/>
      <x:c r="AN3" s="123"/>
    </x:row>
    <x:row r="4">
      <x:c r="A4" s="105" t="str">
        <x:v>Metric</x:v>
      </x:c>
      <x:c r="B4" s="106" t="str">
        <x:v>Unit</x:v>
      </x:c>
      <x:c r="C4" s="106" t="str">
        <x:v>Source / Notes</x:v>
      </x:c>
      <x:c r="D4" s="106" t="str">
        <x:v>M1</x:v>
      </x:c>
      <x:c r="E4" s="106" t="str">
        <x:v>M2</x:v>
      </x:c>
      <x:c r="F4" s="106" t="str">
        <x:v>M3</x:v>
      </x:c>
      <x:c r="G4" s="106" t="str">
        <x:v>M4</x:v>
      </x:c>
      <x:c r="H4" s="106" t="str">
        <x:v>M5</x:v>
      </x:c>
      <x:c r="I4" s="106" t="str">
        <x:v>M6</x:v>
      </x:c>
      <x:c r="J4" s="106" t="str">
        <x:v>M7</x:v>
      </x:c>
      <x:c r="K4" s="106" t="str">
        <x:v>M8</x:v>
      </x:c>
      <x:c r="L4" s="106" t="str">
        <x:v>M9</x:v>
      </x:c>
      <x:c r="M4" s="106" t="str">
        <x:v>M10</x:v>
      </x:c>
      <x:c r="N4" s="106" t="str">
        <x:v>M11</x:v>
      </x:c>
      <x:c r="O4" s="106" t="str">
        <x:v>M12</x:v>
      </x:c>
      <x:c r="P4" s="106" t="str">
        <x:v>M13</x:v>
      </x:c>
      <x:c r="Q4" s="106" t="str">
        <x:v>M14</x:v>
      </x:c>
      <x:c r="R4" s="106" t="str">
        <x:v>M15</x:v>
      </x:c>
      <x:c r="S4" s="106" t="str">
        <x:v>M16</x:v>
      </x:c>
      <x:c r="T4" s="106" t="str">
        <x:v>M17</x:v>
      </x:c>
      <x:c r="U4" s="106" t="str">
        <x:v>M18</x:v>
      </x:c>
      <x:c r="V4" s="106" t="str">
        <x:v>M19</x:v>
      </x:c>
      <x:c r="W4" s="106" t="str">
        <x:v>M20</x:v>
      </x:c>
      <x:c r="X4" s="106" t="str">
        <x:v>M21</x:v>
      </x:c>
      <x:c r="Y4" s="106" t="str">
        <x:v>M22</x:v>
      </x:c>
      <x:c r="Z4" s="106" t="str">
        <x:v>M23</x:v>
      </x:c>
      <x:c r="AA4" s="106" t="str">
        <x:v>M24</x:v>
      </x:c>
      <x:c r="AB4" s="106" t="str">
        <x:v>M25</x:v>
      </x:c>
      <x:c r="AC4" s="106" t="str">
        <x:v>M26</x:v>
      </x:c>
      <x:c r="AD4" s="106" t="str">
        <x:v>M27</x:v>
      </x:c>
      <x:c r="AE4" s="106" t="str">
        <x:v>M28</x:v>
      </x:c>
      <x:c r="AF4" s="106" t="str">
        <x:v>M29</x:v>
      </x:c>
      <x:c r="AG4" s="106" t="str">
        <x:v>M30</x:v>
      </x:c>
      <x:c r="AH4" s="106" t="str">
        <x:v>M31</x:v>
      </x:c>
      <x:c r="AI4" s="106" t="str">
        <x:v>M32</x:v>
      </x:c>
      <x:c r="AJ4" s="106" t="str">
        <x:v>M33</x:v>
      </x:c>
      <x:c r="AK4" s="106" t="str">
        <x:v>M34</x:v>
      </x:c>
      <x:c r="AL4" s="106" t="str">
        <x:v>M35</x:v>
      </x:c>
      <x:c r="AM4" s="107" t="str">
        <x:v>M36</x:v>
      </x:c>
      <x:c r="AN4" s="123"/>
    </x:row>
    <x:row r="5">
      <x:c r="A5" s="124"/>
      <x:c r="B5" s="163"/>
      <x:c r="C5" s="163"/>
      <x:c r="D5" s="163"/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3"/>
      <x:c r="S5" s="163"/>
      <x:c r="T5" s="163"/>
      <x:c r="U5" s="163"/>
      <x:c r="V5" s="163"/>
      <x:c r="W5" s="163"/>
      <x:c r="X5" s="163"/>
      <x:c r="Y5" s="163"/>
      <x:c r="Z5" s="163"/>
      <x:c r="AA5" s="163"/>
      <x:c r="AB5" s="163"/>
      <x:c r="AC5" s="163"/>
      <x:c r="AD5" s="163"/>
      <x:c r="AE5" s="163"/>
      <x:c r="AF5" s="163"/>
      <x:c r="AG5" s="163"/>
      <x:c r="AH5" s="163"/>
      <x:c r="AI5" s="163"/>
      <x:c r="AJ5" s="163"/>
      <x:c r="AK5" s="163"/>
      <x:c r="AL5" s="163"/>
      <x:c r="AM5" s="164"/>
      <x:c r="AN5" s="123"/>
    </x:row>
    <x:row r="6">
      <x:c r="A6" s="159" t="str">
        <x:v>Customer Funnel</x:v>
      </x:c>
      <x:c r="B6" s="158"/>
      <x:c r="C6" s="158"/>
      <x:c r="D6" s="158"/>
      <x:c r="E6" s="158"/>
      <x:c r="F6" s="158"/>
      <x:c r="G6" s="158"/>
      <x:c r="H6" s="158"/>
      <x:c r="I6" s="158"/>
      <x:c r="J6" s="158"/>
      <x:c r="K6" s="158"/>
      <x:c r="L6" s="158"/>
      <x:c r="M6" s="158"/>
      <x:c r="N6" s="158"/>
      <x:c r="O6" s="158"/>
      <x:c r="P6" s="158"/>
      <x:c r="Q6" s="158"/>
      <x:c r="R6" s="158"/>
      <x:c r="S6" s="158"/>
      <x:c r="T6" s="158"/>
      <x:c r="U6" s="158"/>
      <x:c r="V6" s="158"/>
      <x:c r="W6" s="158"/>
      <x:c r="X6" s="158"/>
      <x:c r="Y6" s="158"/>
      <x:c r="Z6" s="158"/>
      <x:c r="AA6" s="158"/>
      <x:c r="AB6" s="158"/>
      <x:c r="AC6" s="158"/>
      <x:c r="AD6" s="158"/>
      <x:c r="AE6" s="158"/>
      <x:c r="AF6" s="158"/>
      <x:c r="AG6" s="158"/>
      <x:c r="AH6" s="158"/>
      <x:c r="AI6" s="158"/>
      <x:c r="AJ6" s="158"/>
      <x:c r="AK6" s="158"/>
      <x:c r="AL6" s="158"/>
      <x:c r="AM6" s="165"/>
      <x:c r="AN6" s="123"/>
    </x:row>
    <x:row r="7">
      <x:c r="A7" s="127" t="str">
        <x:v>New paid users</x:v>
      </x:c>
      <x:c r="B7" s="158" t="str">
        <x:v>users</x:v>
      </x:c>
      <x:c r="C7" s="158" t="str">
        <x:v>Forecast from M1 users and monthly growth</x:v>
      </x:c>
      <x:c r="D7" s="133" t="n">
        <x:f>Assumptions!$C$11</x:f>
        <x:v>30</x:v>
      </x:c>
      <x:c r="E7" s="133" t="n">
        <x:f>D7*(1+Assumptions!$C$12)</x:f>
        <x:v>35.4</x:v>
      </x:c>
      <x:c r="F7" s="133" t="n">
        <x:f>E7*(1+Assumptions!$C$12)</x:f>
        <x:v>41.772</x:v>
      </x:c>
      <x:c r="G7" s="133" t="n">
        <x:f>F7*(1+Assumptions!$C$12)</x:f>
        <x:v>49.29096</x:v>
      </x:c>
      <x:c r="H7" s="133" t="n">
        <x:f>G7*(1+Assumptions!$C$12)</x:f>
        <x:v>58.16333279999999</x:v>
      </x:c>
      <x:c r="I7" s="133" t="n">
        <x:f>H7*(1+Assumptions!$C$12)</x:f>
        <x:v>68.63273270399999</x:v>
      </x:c>
      <x:c r="J7" s="133" t="n">
        <x:f>I7*(1+Assumptions!$C$12)</x:f>
        <x:v>80.98662459071998</x:v>
      </x:c>
      <x:c r="K7" s="133" t="n">
        <x:f>J7*(1+Assumptions!$C$12)</x:f>
        <x:v>95.56421701704957</x:v>
      </x:c>
      <x:c r="L7" s="133" t="n">
        <x:f>K7*(1+Assumptions!$C$12)</x:f>
        <x:v>112.76577608011848</x:v>
      </x:c>
      <x:c r="M7" s="133" t="n">
        <x:f>L7*(1+Assumptions!$C$12)</x:f>
        <x:v>133.0636157745398</x:v>
      </x:c>
      <x:c r="N7" s="133" t="n">
        <x:f>M7*(1+Assumptions!$C$12)</x:f>
        <x:v>157.01506661395698</x:v>
      </x:c>
      <x:c r="O7" s="133" t="n">
        <x:f>N7*(1+Assumptions!$C$12)</x:f>
        <x:v>185.27777860446923</x:v>
      </x:c>
      <x:c r="P7" s="133" t="n">
        <x:f>O7*(1+Assumptions!$C$12)</x:f>
        <x:v>218.62777875327367</x:v>
      </x:c>
      <x:c r="Q7" s="133" t="n">
        <x:f>P7*(1+Assumptions!$C$12)</x:f>
        <x:v>257.98077892886295</x:v>
      </x:c>
      <x:c r="R7" s="133" t="n">
        <x:f>Q7*(1+Assumptions!$C$12)</x:f>
        <x:v>304.41731913605827</x:v>
      </x:c>
      <x:c r="S7" s="133" t="n">
        <x:f>R7*(1+Assumptions!$C$12)</x:f>
        <x:v>359.21243658054874</x:v>
      </x:c>
      <x:c r="T7" s="133" t="n">
        <x:f>S7*(1+Assumptions!$C$12)</x:f>
        <x:v>423.8706751650475</x:v>
      </x:c>
      <x:c r="U7" s="133" t="n">
        <x:f>T7*(1+Assumptions!$C$12)</x:f>
        <x:v>500.167396694756</x:v>
      </x:c>
      <x:c r="V7" s="133" t="n">
        <x:f>U7*(1+Assumptions!$C$12)</x:f>
        <x:v>590.1975280998121</x:v>
      </x:c>
      <x:c r="W7" s="133" t="n">
        <x:f>V7*(1+Assumptions!$C$12)</x:f>
        <x:v>696.4330831577782</x:v>
      </x:c>
      <x:c r="X7" s="133" t="n">
        <x:f>W7*(1+Assumptions!$C$12)</x:f>
        <x:v>821.7910381261783</x:v>
      </x:c>
      <x:c r="Y7" s="133" t="n">
        <x:f>X7*(1+Assumptions!$C$12)</x:f>
        <x:v>969.7134249888903</x:v>
      </x:c>
      <x:c r="Z7" s="133" t="n">
        <x:f>Y7*(1+Assumptions!$C$12)</x:f>
        <x:v>1144.2618414868905</x:v>
      </x:c>
      <x:c r="AA7" s="133" t="n">
        <x:f>Z7*(1+Assumptions!$C$12)</x:f>
        <x:v>1350.2289729545307</x:v>
      </x:c>
      <x:c r="AB7" s="133" t="n">
        <x:f>AA7*(1+Assumptions!$C$12)</x:f>
        <x:v>1593.2701880863463</x:v>
      </x:c>
      <x:c r="AC7" s="133" t="n">
        <x:f>AB7*(1+Assumptions!$C$12)</x:f>
        <x:v>1880.0588219418885</x:v>
      </x:c>
      <x:c r="AD7" s="133" t="n">
        <x:f>AC7*(1+Assumptions!$C$12)</x:f>
        <x:v>2218.4694098914283</x:v>
      </x:c>
      <x:c r="AE7" s="133" t="n">
        <x:f>AD7*(1+Assumptions!$C$12)</x:f>
        <x:v>2617.7939036718853</x:v>
      </x:c>
      <x:c r="AF7" s="133" t="n">
        <x:f>AE7*(1+Assumptions!$C$12)</x:f>
        <x:v>3088.9968063328247</x:v>
      </x:c>
      <x:c r="AG7" s="133" t="n">
        <x:f>AF7*(1+Assumptions!$C$12)</x:f>
        <x:v>3645.016231472733</x:v>
      </x:c>
      <x:c r="AH7" s="133" t="n">
        <x:f>AG7*(1+Assumptions!$C$12)</x:f>
        <x:v>4301.1191531378245</x:v>
      </x:c>
      <x:c r="AI7" s="133" t="n">
        <x:f>AH7*(1+Assumptions!$C$12)</x:f>
        <x:v>5075.320600702633</x:v>
      </x:c>
      <x:c r="AJ7" s="133" t="n">
        <x:f>AI7*(1+Assumptions!$C$12)</x:f>
        <x:v>5988.878308829107</x:v>
      </x:c>
      <x:c r="AK7" s="133" t="n">
        <x:f>AJ7*(1+Assumptions!$C$12)</x:f>
        <x:v>7066.876404418345</x:v>
      </x:c>
      <x:c r="AL7" s="133" t="n">
        <x:f>AK7*(1+Assumptions!$C$12)</x:f>
        <x:v>8338.914157213647</x:v>
      </x:c>
      <x:c r="AM7" s="134" t="n">
        <x:f>AL7*(1+Assumptions!$C$12)</x:f>
        <x:v>9839.918705512102</x:v>
      </x:c>
      <x:c r="AN7" s="123"/>
    </x:row>
    <x:row r="8">
      <x:c r="A8" s="127" t="str">
        <x:v>Churn / refund leakage</x:v>
      </x:c>
      <x:c r="B8" s="158" t="str">
        <x:v>users</x:v>
      </x:c>
      <x:c r="C8" s="158" t="str">
        <x:v>Active users * leakage rate</x:v>
      </x:c>
      <x:c r="D8" s="133" t="n">
        <x:f>0</x:f>
        <x:v>0</x:v>
      </x:c>
      <x:c r="E8" s="133" t="n">
        <x:f>D9*Assumptions!$C$13</x:f>
        <x:v>0.8999999999999999</x:v>
      </x:c>
      <x:c r="F8" s="133" t="n">
        <x:f>E9*Assumptions!$C$13</x:f>
        <x:v>1.9349999999999998</x:v>
      </x:c>
      <x:c r="G8" s="133" t="n">
        <x:f>F9*Assumptions!$C$13</x:f>
        <x:v>3.1301099999999997</x:v>
      </x:c>
      <x:c r="H8" s="133" t="n">
        <x:f>G9*Assumptions!$C$13</x:f>
        <x:v>4.514935499999999</x:v>
      </x:c>
      <x:c r="I8" s="133" t="n">
        <x:f>H9*Assumptions!$C$13</x:f>
        <x:v>6.124387418999998</x:v>
      </x:c>
      <x:c r="J8" s="133" t="n">
        <x:f>I9*Assumptions!$C$13</x:f>
        <x:v>7.999637777549998</x:v>
      </x:c>
      <x:c r="K8" s="133" t="n">
        <x:f>J9*Assumptions!$C$13</x:f>
        <x:v>10.189247381945098</x:v>
      </x:c>
      <x:c r="L8" s="133" t="n">
        <x:f>K9*Assumptions!$C$13</x:f>
        <x:v>12.750496470998232</x:v>
      </x:c>
      <x:c r="M8" s="133" t="n">
        <x:f>L9*Assumptions!$C$13</x:f>
        <x:v>15.750954859271843</x:v>
      </x:c>
      <x:c r="N8" s="133" t="n">
        <x:f>M9*Assumptions!$C$13</x:f>
        <x:v>19.270334686729882</x:v>
      </x:c>
      <x:c r="O8" s="133" t="n">
        <x:f>N9*Assumptions!$C$13</x:f>
        <x:v>23.40267664454669</x:v>
      </x:c>
      <x:c r="P8" s="133" t="n">
        <x:f>O9*Assumptions!$C$13</x:f>
        <x:v>28.258929703344368</x:v>
      </x:c>
      <x:c r="Q8" s="133" t="n">
        <x:f>P9*Assumptions!$C$13</x:f>
        <x:v>33.969995174842246</x:v>
      </x:c>
      <x:c r="R8" s="133" t="n">
        <x:f>Q9*Assumptions!$C$13</x:f>
        <x:v>40.69031868746286</x:v>
      </x:c>
      <x:c r="S8" s="133" t="n">
        <x:f>R9*Assumptions!$C$13</x:f>
        <x:v>48.60212870092072</x:v>
      </x:c>
      <x:c r="T8" s="133" t="n">
        <x:f>S9*Assumptions!$C$13</x:f>
        <x:v>57.920437937309565</x:v>
      </x:c>
      <x:c r="U8" s="133" t="n">
        <x:f>T9*Assumptions!$C$13</x:f>
        <x:v>68.8989450541417</x:v>
      </x:c>
      <x:c r="V8" s="133" t="n">
        <x:f>U9*Assumptions!$C$13</x:f>
        <x:v>81.83699860336013</x:v>
      </x:c>
      <x:c r="W8" s="133" t="n">
        <x:f>V9*Assumptions!$C$13</x:f>
        <x:v>97.0878144882537</x:v>
      </x:c>
      <x:c r="X8" s="133" t="n">
        <x:f>W9*Assumptions!$C$13</x:f>
        <x:v>115.06817254833943</x:v>
      </x:c>
      <x:c r="Y8" s="133" t="n">
        <x:f>X9*Assumptions!$C$13</x:f>
        <x:v>136.26985851567463</x:v>
      </x:c>
      <x:c r="Z8" s="133" t="n">
        <x:f>Y9*Assumptions!$C$13</x:f>
        <x:v>161.2731655098711</x:v>
      </x:c>
      <x:c r="AA8" s="133" t="n">
        <x:f>Z9*Assumptions!$C$13</x:f>
        <x:v>190.76282578918165</x:v>
      </x:c>
      <x:c r="AB8" s="133" t="n">
        <x:f>AA9*Assumptions!$C$13</x:f>
        <x:v>225.5468102041421</x:v>
      </x:c>
      <x:c r="AC8" s="133" t="n">
        <x:f>AB9*Assumptions!$C$13</x:f>
        <x:v>266.5785115406083</x:v>
      </x:c>
      <x:c r="AD8" s="133" t="n">
        <x:f>AC9*Assumptions!$C$13</x:f>
        <x:v>314.98292085264666</x:v>
      </x:c>
      <x:c r="AE8" s="133" t="n">
        <x:f>AD9*Assumptions!$C$13</x:f>
        <x:v>372.0875155238101</x:v>
      </x:c>
      <x:c r="AF8" s="133" t="n">
        <x:f>AE9*Assumptions!$C$13</x:f>
        <x:v>439.4587071682524</x:v>
      </x:c>
      <x:c r="AG8" s="133" t="n">
        <x:f>AF9*Assumptions!$C$13</x:f>
        <x:v>518.9448501431896</x:v>
      </x:c>
      <x:c r="AH8" s="133" t="n">
        <x:f>AG9*Assumptions!$C$13</x:f>
        <x:v>612.7269915830758</x:v>
      </x:c>
      <x:c r="AI8" s="133" t="n">
        <x:f>AH9*Assumptions!$C$13</x:f>
        <x:v>723.3787564297182</x:v>
      </x:c>
      <x:c r="AJ8" s="133" t="n">
        <x:f>AI9*Assumptions!$C$13</x:f>
        <x:v>853.9370117579057</x:v>
      </x:c>
      <x:c r="AK8" s="133" t="n">
        <x:f>AJ9*Assumptions!$C$13</x:f>
        <x:v>1007.9852506700416</x:v>
      </x:c>
      <x:c r="AL8" s="133" t="n">
        <x:f>AK9*Assumptions!$C$13</x:f>
        <x:v>1189.7519852824908</x:v>
      </x:c>
      <x:c r="AM8" s="134" t="n">
        <x:f>AL9*Assumptions!$C$13</x:f>
        <x:v>1404.2268504404256</x:v>
      </x:c>
      <x:c r="AN8" s="123"/>
    </x:row>
    <x:row r="9">
      <x:c r="A9" s="127" t="str">
        <x:v>Ending active paid users</x:v>
      </x:c>
      <x:c r="B9" s="158" t="str">
        <x:v>users</x:v>
      </x:c>
      <x:c r="C9" s="158" t="str">
        <x:v>Prior active + new users - leakage</x:v>
      </x:c>
      <x:c r="D9" s="133" t="n">
        <x:f>D7-D8</x:f>
        <x:v>30</x:v>
      </x:c>
      <x:c r="E9" s="133" t="n">
        <x:f>D9+E7-E8</x:f>
        <x:v>64.5</x:v>
      </x:c>
      <x:c r="F9" s="133" t="n">
        <x:f>E9+F7-F8</x:f>
        <x:v>104.33699999999999</x:v>
      </x:c>
      <x:c r="G9" s="133" t="n">
        <x:f>F9+G7-G8</x:f>
        <x:v>150.49784999999997</x:v>
      </x:c>
      <x:c r="H9" s="133" t="n">
        <x:f>G9+H7-H8</x:f>
        <x:v>204.14624729999994</x:v>
      </x:c>
      <x:c r="I9" s="133" t="n">
        <x:f>H9+I7-I8</x:f>
        <x:v>266.65459258499993</x:v>
      </x:c>
      <x:c r="J9" s="133" t="n">
        <x:f>I9+J7-J8</x:f>
        <x:v>339.64157939816994</x:v>
      </x:c>
      <x:c r="K9" s="133" t="n">
        <x:f>J9+K7-K8</x:f>
        <x:v>425.01654903327443</x:v>
      </x:c>
      <x:c r="L9" s="133" t="n">
        <x:f>K9+L7-L8</x:f>
        <x:v>525.0318286423948</x:v>
      </x:c>
      <x:c r="M9" s="133" t="n">
        <x:f>L9+M7-M8</x:f>
        <x:v>642.3444895576628</x:v>
      </x:c>
      <x:c r="N9" s="133" t="n">
        <x:f>M9+N7-N8</x:f>
        <x:v>780.0892214848898</x:v>
      </x:c>
      <x:c r="O9" s="133" t="n">
        <x:f>N9+O7-O8</x:f>
        <x:v>941.9643234448123</x:v>
      </x:c>
      <x:c r="P9" s="133" t="n">
        <x:f>O9+P7-P8</x:f>
        <x:v>1132.3331724947416</x:v>
      </x:c>
      <x:c r="Q9" s="133" t="n">
        <x:f>P9+Q7-Q8</x:f>
        <x:v>1356.3439562487622</x:v>
      </x:c>
      <x:c r="R9" s="133" t="n">
        <x:f>Q9+R7-R8</x:f>
        <x:v>1620.0709566973576</x:v>
      </x:c>
      <x:c r="S9" s="133" t="n">
        <x:f>R9+S7-S8</x:f>
        <x:v>1930.6812645769855</x:v>
      </x:c>
      <x:c r="T9" s="133" t="n">
        <x:f>S9+T7-T8</x:f>
        <x:v>2296.6315018047235</x:v>
      </x:c>
      <x:c r="U9" s="133" t="n">
        <x:f>T9+U7-U8</x:f>
        <x:v>2727.899953445338</x:v>
      </x:c>
      <x:c r="V9" s="133" t="n">
        <x:f>U9+V7-V8</x:f>
        <x:v>3236.26048294179</x:v>
      </x:c>
      <x:c r="W9" s="133" t="n">
        <x:f>V9+W7-W8</x:f>
        <x:v>3835.6057516113146</x:v>
      </x:c>
      <x:c r="X9" s="133" t="n">
        <x:f>W9+X7-X8</x:f>
        <x:v>4542.328617189154</x:v>
      </x:c>
      <x:c r="Y9" s="133" t="n">
        <x:f>X9+Y7-Y8</x:f>
        <x:v>5375.77218366237</x:v>
      </x:c>
      <x:c r="Z9" s="133" t="n">
        <x:f>Y9+Z7-Z8</x:f>
        <x:v>6358.760859639388</x:v>
      </x:c>
      <x:c r="AA9" s="133" t="n">
        <x:f>Z9+AA7-AA8</x:f>
        <x:v>7518.227006804737</x:v>
      </x:c>
      <x:c r="AB9" s="133" t="n">
        <x:f>AA9+AB7-AB8</x:f>
        <x:v>8885.950384686943</x:v>
      </x:c>
      <x:c r="AC9" s="133" t="n">
        <x:f>AB9+AC7-AC8</x:f>
        <x:v>10499.430695088222</x:v>
      </x:c>
      <x:c r="AD9" s="133" t="n">
        <x:f>AC9+AD7-AD8</x:f>
        <x:v>12402.917184127004</x:v>
      </x:c>
      <x:c r="AE9" s="133" t="n">
        <x:f>AD9+AE7-AE8</x:f>
        <x:v>14648.623572275079</x:v>
      </x:c>
      <x:c r="AF9" s="133" t="n">
        <x:f>AE9+AF7-AF8</x:f>
        <x:v>17298.16167143965</x:v>
      </x:c>
      <x:c r="AG9" s="133" t="n">
        <x:f>AF9+AG7-AG8</x:f>
        <x:v>20424.233052769196</x:v>
      </x:c>
      <x:c r="AH9" s="133" t="n">
        <x:f>AG9+AH7-AH8</x:f>
        <x:v>24112.625214323944</x:v>
      </x:c>
      <x:c r="AI9" s="133" t="n">
        <x:f>AH9+AI7-AI8</x:f>
        <x:v>28464.56705859686</x:v>
      </x:c>
      <x:c r="AJ9" s="133" t="n">
        <x:f>AI9+AJ7-AJ8</x:f>
        <x:v>33599.508355668055</x:v>
      </x:c>
      <x:c r="AK9" s="133" t="n">
        <x:f>AJ9+AK7-AK8</x:f>
        <x:v>39658.39950941636</x:v>
      </x:c>
      <x:c r="AL9" s="133" t="n">
        <x:f>AK9+AL7-AL8</x:f>
        <x:v>46807.56168134752</x:v>
      </x:c>
      <x:c r="AM9" s="134" t="n">
        <x:f>AL9+AM7-AM8</x:f>
        <x:v>55243.25353641919</x:v>
      </x:c>
      <x:c r="AN9" s="123"/>
    </x:row>
    <x:row r="10">
      <x:c r="A10" s="127"/>
      <x:c r="B10" s="158"/>
      <x:c r="C10" s="158"/>
      <x:c r="D10" s="133"/>
      <x:c r="E10" s="133"/>
      <x:c r="F10" s="133"/>
      <x:c r="G10" s="133"/>
      <x:c r="H10" s="133"/>
      <x:c r="I10" s="133"/>
      <x:c r="J10" s="133"/>
      <x:c r="K10" s="133"/>
      <x:c r="L10" s="133"/>
      <x:c r="M10" s="133"/>
      <x:c r="N10" s="133"/>
      <x:c r="O10" s="133"/>
      <x:c r="P10" s="133"/>
      <x:c r="Q10" s="133"/>
      <x:c r="R10" s="133"/>
      <x:c r="S10" s="133"/>
      <x:c r="T10" s="133"/>
      <x:c r="U10" s="133"/>
      <x:c r="V10" s="133"/>
      <x:c r="W10" s="133"/>
      <x:c r="X10" s="133"/>
      <x:c r="Y10" s="133"/>
      <x:c r="Z10" s="133"/>
      <x:c r="AA10" s="133"/>
      <x:c r="AB10" s="133"/>
      <x:c r="AC10" s="133"/>
      <x:c r="AD10" s="133"/>
      <x:c r="AE10" s="133"/>
      <x:c r="AF10" s="133"/>
      <x:c r="AG10" s="133"/>
      <x:c r="AH10" s="133"/>
      <x:c r="AI10" s="133"/>
      <x:c r="AJ10" s="133"/>
      <x:c r="AK10" s="133"/>
      <x:c r="AL10" s="133"/>
      <x:c r="AM10" s="134"/>
      <x:c r="AN10" s="123"/>
    </x:row>
    <x:row r="11">
      <x:c r="A11" s="159" t="str">
        <x:v>Pricing &amp; Mix</x:v>
      </x:c>
      <x:c r="B11" s="158"/>
      <x:c r="C11" s="158"/>
      <x:c r="D11" s="133"/>
      <x:c r="E11" s="133"/>
      <x:c r="F11" s="133"/>
      <x:c r="G11" s="133"/>
      <x:c r="H11" s="133"/>
      <x:c r="I11" s="133"/>
      <x:c r="J11" s="133"/>
      <x:c r="K11" s="133"/>
      <x:c r="L11" s="133"/>
      <x:c r="M11" s="133"/>
      <x:c r="N11" s="133"/>
      <x:c r="O11" s="133"/>
      <x:c r="P11" s="133"/>
      <x:c r="Q11" s="133"/>
      <x:c r="R11" s="133"/>
      <x:c r="S11" s="133"/>
      <x:c r="T11" s="133"/>
      <x:c r="U11" s="133"/>
      <x:c r="V11" s="133"/>
      <x:c r="W11" s="133"/>
      <x:c r="X11" s="133"/>
      <x:c r="Y11" s="133"/>
      <x:c r="Z11" s="133"/>
      <x:c r="AA11" s="133"/>
      <x:c r="AB11" s="133"/>
      <x:c r="AC11" s="133"/>
      <x:c r="AD11" s="133"/>
      <x:c r="AE11" s="133"/>
      <x:c r="AF11" s="133"/>
      <x:c r="AG11" s="133"/>
      <x:c r="AH11" s="133"/>
      <x:c r="AI11" s="133"/>
      <x:c r="AJ11" s="133"/>
      <x:c r="AK11" s="133"/>
      <x:c r="AL11" s="133"/>
      <x:c r="AM11" s="134"/>
      <x:c r="AN11" s="123"/>
    </x:row>
    <x:row r="12">
      <x:c r="A12" s="127" t="str">
        <x:v>3-month pass users</x:v>
      </x:c>
      <x:c r="B12" s="158" t="str">
        <x:v>users</x:v>
      </x:c>
      <x:c r="C12" s="158" t="str">
        <x:v>New users * 3-month mix</x:v>
      </x:c>
      <x:c r="D12" s="133" t="n">
        <x:f>D7*Assumptions!$C$9</x:f>
        <x:v>18</x:v>
      </x:c>
      <x:c r="E12" s="133" t="n">
        <x:f>E7*Assumptions!$C$9</x:f>
        <x:v>21.24</x:v>
      </x:c>
      <x:c r="F12" s="133" t="n">
        <x:f>F7*Assumptions!$C$9</x:f>
        <x:v>25.0632</x:v>
      </x:c>
      <x:c r="G12" s="133" t="n">
        <x:f>G7*Assumptions!$C$9</x:f>
        <x:v>29.574575999999997</x:v>
      </x:c>
      <x:c r="H12" s="133" t="n">
        <x:f>H7*Assumptions!$C$9</x:f>
        <x:v>34.89799967999999</x:v>
      </x:c>
      <x:c r="I12" s="133" t="n">
        <x:f>I7*Assumptions!$C$9</x:f>
        <x:v>41.179639622399996</x:v>
      </x:c>
      <x:c r="J12" s="133" t="n">
        <x:f>J7*Assumptions!$C$9</x:f>
        <x:v>48.59197475443199</x:v>
      </x:c>
      <x:c r="K12" s="133" t="n">
        <x:f>K7*Assumptions!$C$9</x:f>
        <x:v>57.33853021022974</x:v>
      </x:c>
      <x:c r="L12" s="133" t="n">
        <x:f>L7*Assumptions!$C$9</x:f>
        <x:v>67.65946564807109</x:v>
      </x:c>
      <x:c r="M12" s="133" t="n">
        <x:f>M7*Assumptions!$C$9</x:f>
        <x:v>79.83816946472389</x:v>
      </x:c>
      <x:c r="N12" s="133" t="n">
        <x:f>N7*Assumptions!$C$9</x:f>
        <x:v>94.20903996837419</x:v>
      </x:c>
      <x:c r="O12" s="133" t="n">
        <x:f>O7*Assumptions!$C$9</x:f>
        <x:v>111.16666716268153</x:v>
      </x:c>
      <x:c r="P12" s="133" t="n">
        <x:f>P7*Assumptions!$C$9</x:f>
        <x:v>131.1766672519642</x:v>
      </x:c>
      <x:c r="Q12" s="133" t="n">
        <x:f>Q7*Assumptions!$C$9</x:f>
        <x:v>154.78846735731776</x:v>
      </x:c>
      <x:c r="R12" s="133" t="n">
        <x:f>R7*Assumptions!$C$9</x:f>
        <x:v>182.65039148163495</x:v>
      </x:c>
      <x:c r="S12" s="133" t="n">
        <x:f>S7*Assumptions!$C$9</x:f>
        <x:v>215.52746194832923</x:v>
      </x:c>
      <x:c r="T12" s="133" t="n">
        <x:f>T7*Assumptions!$C$9</x:f>
        <x:v>254.3224050990285</x:v>
      </x:c>
      <x:c r="U12" s="133" t="n">
        <x:f>U7*Assumptions!$C$9</x:f>
        <x:v>300.1004380168536</x:v>
      </x:c>
      <x:c r="V12" s="133" t="n">
        <x:f>V7*Assumptions!$C$9</x:f>
        <x:v>354.1185168598872</x:v>
      </x:c>
      <x:c r="W12" s="133" t="n">
        <x:f>W7*Assumptions!$C$9</x:f>
        <x:v>417.8598498946669</x:v>
      </x:c>
      <x:c r="X12" s="133" t="n">
        <x:f>X7*Assumptions!$C$9</x:f>
        <x:v>493.07462287570695</x:v>
      </x:c>
      <x:c r="Y12" s="133" t="n">
        <x:f>Y7*Assumptions!$C$9</x:f>
        <x:v>581.8280549933341</x:v>
      </x:c>
      <x:c r="Z12" s="133" t="n">
        <x:f>Z7*Assumptions!$C$9</x:f>
        <x:v>686.5571048921342</x:v>
      </x:c>
      <x:c r="AA12" s="133" t="n">
        <x:f>AA7*Assumptions!$C$9</x:f>
        <x:v>810.1373837727184</x:v>
      </x:c>
      <x:c r="AB12" s="133" t="n">
        <x:f>AB7*Assumptions!$C$9</x:f>
        <x:v>955.9621128518077</x:v>
      </x:c>
      <x:c r="AC12" s="133" t="n">
        <x:f>AC7*Assumptions!$C$9</x:f>
        <x:v>1128.035293165133</x:v>
      </x:c>
      <x:c r="AD12" s="133" t="n">
        <x:f>AD7*Assumptions!$C$9</x:f>
        <x:v>1331.0816459348569</x:v>
      </x:c>
      <x:c r="AE12" s="133" t="n">
        <x:f>AE7*Assumptions!$C$9</x:f>
        <x:v>1570.676342203131</x:v>
      </x:c>
      <x:c r="AF12" s="133" t="n">
        <x:f>AF7*Assumptions!$C$9</x:f>
        <x:v>1853.3980837996946</x:v>
      </x:c>
      <x:c r="AG12" s="133" t="n">
        <x:f>AG7*Assumptions!$C$9</x:f>
        <x:v>2187.00973888364</x:v>
      </x:c>
      <x:c r="AH12" s="133" t="n">
        <x:f>AH7*Assumptions!$C$9</x:f>
        <x:v>2580.6714918826947</x:v>
      </x:c>
      <x:c r="AI12" s="133" t="n">
        <x:f>AI7*Assumptions!$C$9</x:f>
        <x:v>3045.1923604215795</x:v>
      </x:c>
      <x:c r="AJ12" s="133" t="n">
        <x:f>AJ7*Assumptions!$C$9</x:f>
        <x:v>3593.326985297464</x:v>
      </x:c>
      <x:c r="AK12" s="133" t="n">
        <x:f>AK7*Assumptions!$C$9</x:f>
        <x:v>4240.125842651007</x:v>
      </x:c>
      <x:c r="AL12" s="133" t="n">
        <x:f>AL7*Assumptions!$C$9</x:f>
        <x:v>5003.348494328188</x:v>
      </x:c>
      <x:c r="AM12" s="134" t="n">
        <x:f>AM7*Assumptions!$C$9</x:f>
        <x:v>5903.951223307261</x:v>
      </x:c>
      <x:c r="AN12" s="123"/>
    </x:row>
    <x:row r="13">
      <x:c r="A13" s="127" t="str">
        <x:v>6-month pass users</x:v>
      </x:c>
      <x:c r="B13" s="158" t="str">
        <x:v>users</x:v>
      </x:c>
      <x:c r="C13" s="158" t="str">
        <x:v>New users * 6-month mix</x:v>
      </x:c>
      <x:c r="D13" s="133" t="n">
        <x:f>D7*(1-Assumptions!$C$9)</x:f>
        <x:v>12</x:v>
      </x:c>
      <x:c r="E13" s="133" t="n">
        <x:f>E7*(1-Assumptions!$C$9)</x:f>
        <x:v>14.16</x:v>
      </x:c>
      <x:c r="F13" s="133" t="n">
        <x:f>F7*(1-Assumptions!$C$9)</x:f>
        <x:v>16.7088</x:v>
      </x:c>
      <x:c r="G13" s="133" t="n">
        <x:f>G7*(1-Assumptions!$C$9)</x:f>
        <x:v>19.716384</x:v>
      </x:c>
      <x:c r="H13" s="133" t="n">
        <x:f>H7*(1-Assumptions!$C$9)</x:f>
        <x:v>23.265333119999998</x:v>
      </x:c>
      <x:c r="I13" s="133" t="n">
        <x:f>I7*(1-Assumptions!$C$9)</x:f>
        <x:v>27.4530930816</x:v>
      </x:c>
      <x:c r="J13" s="133" t="n">
        <x:f>J7*(1-Assumptions!$C$9)</x:f>
        <x:v>32.394649836287996</x:v>
      </x:c>
      <x:c r="K13" s="133" t="n">
        <x:f>K7*(1-Assumptions!$C$9)</x:f>
        <x:v>38.22568680681983</x:v>
      </x:c>
      <x:c r="L13" s="133" t="n">
        <x:f>L7*(1-Assumptions!$C$9)</x:f>
        <x:v>45.106310432047394</x:v>
      </x:c>
      <x:c r="M13" s="133" t="n">
        <x:f>M7*(1-Assumptions!$C$9)</x:f>
        <x:v>53.22544630981593</x:v>
      </x:c>
      <x:c r="N13" s="133" t="n">
        <x:f>N7*(1-Assumptions!$C$9)</x:f>
        <x:v>62.80602664558279</x:v>
      </x:c>
      <x:c r="O13" s="133" t="n">
        <x:f>O7*(1-Assumptions!$C$9)</x:f>
        <x:v>74.1111114417877</x:v>
      </x:c>
      <x:c r="P13" s="133" t="n">
        <x:f>P7*(1-Assumptions!$C$9)</x:f>
        <x:v>87.45111150130947</x:v>
      </x:c>
      <x:c r="Q13" s="133" t="n">
        <x:f>Q7*(1-Assumptions!$C$9)</x:f>
        <x:v>103.19231157154519</x:v>
      </x:c>
      <x:c r="R13" s="133" t="n">
        <x:f>R7*(1-Assumptions!$C$9)</x:f>
        <x:v>121.76692765442331</x:v>
      </x:c>
      <x:c r="S13" s="133" t="n">
        <x:f>S7*(1-Assumptions!$C$9)</x:f>
        <x:v>143.6849746322195</x:v>
      </x:c>
      <x:c r="T13" s="133" t="n">
        <x:f>T7*(1-Assumptions!$C$9)</x:f>
        <x:v>169.548270066019</x:v>
      </x:c>
      <x:c r="U13" s="133" t="n">
        <x:f>U7*(1-Assumptions!$C$9)</x:f>
        <x:v>200.06695867790242</x:v>
      </x:c>
      <x:c r="V13" s="133" t="n">
        <x:f>V7*(1-Assumptions!$C$9)</x:f>
        <x:v>236.07901123992485</x:v>
      </x:c>
      <x:c r="W13" s="133" t="n">
        <x:f>W7*(1-Assumptions!$C$9)</x:f>
        <x:v>278.5732332631113</x:v>
      </x:c>
      <x:c r="X13" s="133" t="n">
        <x:f>X7*(1-Assumptions!$C$9)</x:f>
        <x:v>328.7164152504713</x:v>
      </x:c>
      <x:c r="Y13" s="133" t="n">
        <x:f>Y7*(1-Assumptions!$C$9)</x:f>
        <x:v>387.8853699955562</x:v>
      </x:c>
      <x:c r="Z13" s="133" t="n">
        <x:f>Z7*(1-Assumptions!$C$9)</x:f>
        <x:v>457.70473659475624</x:v>
      </x:c>
      <x:c r="AA13" s="133" t="n">
        <x:f>AA7*(1-Assumptions!$C$9)</x:f>
        <x:v>540.0915891818123</x:v>
      </x:c>
      <x:c r="AB13" s="133" t="n">
        <x:f>AB7*(1-Assumptions!$C$9)</x:f>
        <x:v>637.3080752345386</x:v>
      </x:c>
      <x:c r="AC13" s="133" t="n">
        <x:f>AC7*(1-Assumptions!$C$9)</x:f>
        <x:v>752.0235287767555</x:v>
      </x:c>
      <x:c r="AD13" s="133" t="n">
        <x:f>AD7*(1-Assumptions!$C$9)</x:f>
        <x:v>887.3877639565713</x:v>
      </x:c>
      <x:c r="AE13" s="133" t="n">
        <x:f>AE7*(1-Assumptions!$C$9)</x:f>
        <x:v>1047.1175614687543</x:v>
      </x:c>
      <x:c r="AF13" s="133" t="n">
        <x:f>AF7*(1-Assumptions!$C$9)</x:f>
        <x:v>1235.59872253313</x:v>
      </x:c>
      <x:c r="AG13" s="133" t="n">
        <x:f>AG7*(1-Assumptions!$C$9)</x:f>
        <x:v>1458.0064925890933</x:v>
      </x:c>
      <x:c r="AH13" s="133" t="n">
        <x:f>AH7*(1-Assumptions!$C$9)</x:f>
        <x:v>1720.4476612551298</x:v>
      </x:c>
      <x:c r="AI13" s="133" t="n">
        <x:f>AI7*(1-Assumptions!$C$9)</x:f>
        <x:v>2030.1282402810532</x:v>
      </x:c>
      <x:c r="AJ13" s="133" t="n">
        <x:f>AJ7*(1-Assumptions!$C$9)</x:f>
        <x:v>2395.5513235316425</x:v>
      </x:c>
      <x:c r="AK13" s="133" t="n">
        <x:f>AK7*(1-Assumptions!$C$9)</x:f>
        <x:v>2826.7505617673382</x:v>
      </x:c>
      <x:c r="AL13" s="133" t="n">
        <x:f>AL7*(1-Assumptions!$C$9)</x:f>
        <x:v>3335.565662885459</x:v>
      </x:c>
      <x:c r="AM13" s="134" t="n">
        <x:f>AM7*(1-Assumptions!$C$9)</x:f>
        <x:v>3935.967482204841</x:v>
      </x:c>
      <x:c r="AN13" s="123"/>
    </x:row>
    <x:row r="14">
      <x:c r="A14" s="127" t="str">
        <x:v>Bundled AI upgrade users</x:v>
      </x:c>
      <x:c r="B14" s="158" t="str">
        <x:v>users</x:v>
      </x:c>
      <x:c r="C14" s="158" t="str">
        <x:v>New users * AI attach rate</x:v>
      </x:c>
      <x:c r="D14" s="133" t="n">
        <x:f>D7*Assumptions!$C$10</x:f>
        <x:v>7.5</x:v>
      </x:c>
      <x:c r="E14" s="133" t="n">
        <x:f>E7*Assumptions!$C$10</x:f>
        <x:v>8.85</x:v>
      </x:c>
      <x:c r="F14" s="133" t="n">
        <x:f>F7*Assumptions!$C$10</x:f>
        <x:v>10.443</x:v>
      </x:c>
      <x:c r="G14" s="133" t="n">
        <x:f>G7*Assumptions!$C$10</x:f>
        <x:v>12.32274</x:v>
      </x:c>
      <x:c r="H14" s="133" t="n">
        <x:f>H7*Assumptions!$C$10</x:f>
        <x:v>14.540833199999998</x:v>
      </x:c>
      <x:c r="I14" s="133" t="n">
        <x:f>I7*Assumptions!$C$10</x:f>
        <x:v>17.158183175999998</x:v>
      </x:c>
      <x:c r="J14" s="133" t="n">
        <x:f>J7*Assumptions!$C$10</x:f>
        <x:v>20.246656147679996</x:v>
      </x:c>
      <x:c r="K14" s="133" t="n">
        <x:f>K7*Assumptions!$C$10</x:f>
        <x:v>23.891054254262393</x:v>
      </x:c>
      <x:c r="L14" s="133" t="n">
        <x:f>L7*Assumptions!$C$10</x:f>
        <x:v>28.19144402002962</x:v>
      </x:c>
      <x:c r="M14" s="133" t="n">
        <x:f>M7*Assumptions!$C$10</x:f>
        <x:v>33.26590394363495</x:v>
      </x:c>
      <x:c r="N14" s="133" t="n">
        <x:f>N7*Assumptions!$C$10</x:f>
        <x:v>39.253766653489244</x:v>
      </x:c>
      <x:c r="O14" s="133" t="n">
        <x:f>O7*Assumptions!$C$10</x:f>
        <x:v>46.31944465111731</x:v>
      </x:c>
      <x:c r="P14" s="133" t="n">
        <x:f>P7*Assumptions!$C$10</x:f>
        <x:v>54.65694468831842</x:v>
      </x:c>
      <x:c r="Q14" s="133" t="n">
        <x:f>Q7*Assumptions!$C$10</x:f>
        <x:v>64.49519473221574</x:v>
      </x:c>
      <x:c r="R14" s="133" t="n">
        <x:f>R7*Assumptions!$C$10</x:f>
        <x:v>76.10432978401457</x:v>
      </x:c>
      <x:c r="S14" s="133" t="n">
        <x:f>S7*Assumptions!$C$10</x:f>
        <x:v>89.80310914513719</x:v>
      </x:c>
      <x:c r="T14" s="133" t="n">
        <x:f>T7*Assumptions!$C$10</x:f>
        <x:v>105.96766879126187</x:v>
      </x:c>
      <x:c r="U14" s="133" t="n">
        <x:f>U7*Assumptions!$C$10</x:f>
        <x:v>125.041849173689</x:v>
      </x:c>
      <x:c r="V14" s="133" t="n">
        <x:f>V7*Assumptions!$C$10</x:f>
        <x:v>147.54938202495302</x:v>
      </x:c>
      <x:c r="W14" s="133" t="n">
        <x:f>W7*Assumptions!$C$10</x:f>
        <x:v>174.10827078944456</x:v>
      </x:c>
      <x:c r="X14" s="133" t="n">
        <x:f>X7*Assumptions!$C$10</x:f>
        <x:v>205.44775953154456</x:v>
      </x:c>
      <x:c r="Y14" s="133" t="n">
        <x:f>Y7*Assumptions!$C$10</x:f>
        <x:v>242.42835624722258</x:v>
      </x:c>
      <x:c r="Z14" s="133" t="n">
        <x:f>Z7*Assumptions!$C$10</x:f>
        <x:v>286.0654603717226</x:v>
      </x:c>
      <x:c r="AA14" s="133" t="n">
        <x:f>AA7*Assumptions!$C$10</x:f>
        <x:v>337.5572432386327</x:v>
      </x:c>
      <x:c r="AB14" s="133" t="n">
        <x:f>AB7*Assumptions!$C$10</x:f>
        <x:v>398.31754702158656</x:v>
      </x:c>
      <x:c r="AC14" s="133" t="n">
        <x:f>AC7*Assumptions!$C$10</x:f>
        <x:v>470.0147054854721</x:v>
      </x:c>
      <x:c r="AD14" s="133" t="n">
        <x:f>AD7*Assumptions!$C$10</x:f>
        <x:v>554.6173524728571</x:v>
      </x:c>
      <x:c r="AE14" s="133" t="n">
        <x:f>AE7*Assumptions!$C$10</x:f>
        <x:v>654.4484759179713</x:v>
      </x:c>
      <x:c r="AF14" s="133" t="n">
        <x:f>AF7*Assumptions!$C$10</x:f>
        <x:v>772.2492015832062</x:v>
      </x:c>
      <x:c r="AG14" s="133" t="n">
        <x:f>AG7*Assumptions!$C$10</x:f>
        <x:v>911.2540578681833</x:v>
      </x:c>
      <x:c r="AH14" s="133" t="n">
        <x:f>AH7*Assumptions!$C$10</x:f>
        <x:v>1075.2797882844561</x:v>
      </x:c>
      <x:c r="AI14" s="133" t="n">
        <x:f>AI7*Assumptions!$C$10</x:f>
        <x:v>1268.8301501756582</x:v>
      </x:c>
      <x:c r="AJ14" s="133" t="n">
        <x:f>AJ7*Assumptions!$C$10</x:f>
        <x:v>1497.2195772072766</x:v>
      </x:c>
      <x:c r="AK14" s="133" t="n">
        <x:f>AK7*Assumptions!$C$10</x:f>
        <x:v>1766.7191011045863</x:v>
      </x:c>
      <x:c r="AL14" s="133" t="n">
        <x:f>AL7*Assumptions!$C$10</x:f>
        <x:v>2084.7285393034117</x:v>
      </x:c>
      <x:c r="AM14" s="134" t="n">
        <x:f>AM7*Assumptions!$C$10</x:f>
        <x:v>2459.9796763780255</x:v>
      </x:c>
      <x:c r="AN14" s="123"/>
    </x:row>
    <x:row r="15">
      <x:c r="A15" s="127"/>
      <x:c r="B15" s="158"/>
      <x:c r="C15" s="158"/>
      <x:c r="D15" s="158"/>
      <x:c r="E15" s="158"/>
      <x:c r="F15" s="158"/>
      <x:c r="G15" s="158"/>
      <x:c r="H15" s="158"/>
      <x:c r="I15" s="158"/>
      <x:c r="J15" s="158"/>
      <x:c r="K15" s="158"/>
      <x:c r="L15" s="158"/>
      <x:c r="M15" s="158"/>
      <x:c r="N15" s="158"/>
      <x:c r="O15" s="158"/>
      <x:c r="P15" s="158"/>
      <x:c r="Q15" s="158"/>
      <x:c r="R15" s="158"/>
      <x:c r="S15" s="158"/>
      <x:c r="T15" s="158"/>
      <x:c r="U15" s="158"/>
      <x:c r="V15" s="158"/>
      <x:c r="W15" s="158"/>
      <x:c r="X15" s="158"/>
      <x:c r="Y15" s="158"/>
      <x:c r="Z15" s="158"/>
      <x:c r="AA15" s="158"/>
      <x:c r="AB15" s="158"/>
      <x:c r="AC15" s="158"/>
      <x:c r="AD15" s="158"/>
      <x:c r="AE15" s="158"/>
      <x:c r="AF15" s="158"/>
      <x:c r="AG15" s="158"/>
      <x:c r="AH15" s="158"/>
      <x:c r="AI15" s="158"/>
      <x:c r="AJ15" s="158"/>
      <x:c r="AK15" s="158"/>
      <x:c r="AL15" s="158"/>
      <x:c r="AM15" s="165"/>
      <x:c r="AN15" s="123"/>
    </x:row>
    <x:row r="16">
      <x:c r="A16" s="159" t="str">
        <x:v>Revenue</x:v>
      </x:c>
      <x:c r="B16" s="158"/>
      <x:c r="C16" s="158"/>
      <x:c r="D16" s="158"/>
      <x:c r="E16" s="158"/>
      <x:c r="F16" s="158"/>
      <x:c r="G16" s="158"/>
      <x:c r="H16" s="158"/>
      <x:c r="I16" s="158"/>
      <x:c r="J16" s="158"/>
      <x:c r="K16" s="158"/>
      <x:c r="L16" s="158"/>
      <x:c r="M16" s="158"/>
      <x:c r="N16" s="158"/>
      <x:c r="O16" s="158"/>
      <x:c r="P16" s="158"/>
      <x:c r="Q16" s="158"/>
      <x:c r="R16" s="158"/>
      <x:c r="S16" s="158"/>
      <x:c r="T16" s="158"/>
      <x:c r="U16" s="158"/>
      <x:c r="V16" s="158"/>
      <x:c r="W16" s="158"/>
      <x:c r="X16" s="158"/>
      <x:c r="Y16" s="158"/>
      <x:c r="Z16" s="158"/>
      <x:c r="AA16" s="158"/>
      <x:c r="AB16" s="158"/>
      <x:c r="AC16" s="158"/>
      <x:c r="AD16" s="158"/>
      <x:c r="AE16" s="158"/>
      <x:c r="AF16" s="158"/>
      <x:c r="AG16" s="158"/>
      <x:c r="AH16" s="158"/>
      <x:c r="AI16" s="158"/>
      <x:c r="AJ16" s="158"/>
      <x:c r="AK16" s="158"/>
      <x:c r="AL16" s="158"/>
      <x:c r="AM16" s="165"/>
      <x:c r="AN16" s="123"/>
    </x:row>
    <x:row r="17">
      <x:c r="A17" s="127" t="str">
        <x:v>3-month pass revenue</x:v>
      </x:c>
      <x:c r="B17" s="158" t="str">
        <x:v>MYR</x:v>
      </x:c>
      <x:c r="C17" s="158" t="str">
        <x:v>3-month users * price</x:v>
      </x:c>
      <x:c r="D17" s="128" t="n">
        <x:f>D12*Assumptions!$C$6</x:f>
        <x:v>882</x:v>
      </x:c>
      <x:c r="E17" s="128" t="n">
        <x:f>E12*Assumptions!$C$6</x:f>
        <x:v>1040.76</x:v>
      </x:c>
      <x:c r="F17" s="128" t="n">
        <x:f>F12*Assumptions!$C$6</x:f>
        <x:v>1228.0968</x:v>
      </x:c>
      <x:c r="G17" s="128" t="n">
        <x:f>G12*Assumptions!$C$6</x:f>
        <x:v>1449.1542239999999</x:v>
      </x:c>
      <x:c r="H17" s="128" t="n">
        <x:f>H12*Assumptions!$C$6</x:f>
        <x:v>1710.0019843199996</x:v>
      </x:c>
      <x:c r="I17" s="128" t="n">
        <x:f>I12*Assumptions!$C$6</x:f>
        <x:v>2017.8023414975999</x:v>
      </x:c>
      <x:c r="J17" s="128" t="n">
        <x:f>J12*Assumptions!$C$6</x:f>
        <x:v>2381.0067629671676</x:v>
      </x:c>
      <x:c r="K17" s="128" t="n">
        <x:f>K12*Assumptions!$C$6</x:f>
        <x:v>2809.587980301257</x:v>
      </x:c>
      <x:c r="L17" s="128" t="n">
        <x:f>L12*Assumptions!$C$6</x:f>
        <x:v>3315.3138167554835</x:v>
      </x:c>
      <x:c r="M17" s="128" t="n">
        <x:f>M12*Assumptions!$C$6</x:f>
        <x:v>3912.0703037714707</x:v>
      </x:c>
      <x:c r="N17" s="128" t="n">
        <x:f>N12*Assumptions!$C$6</x:f>
        <x:v>4616.242958450335</x:v>
      </x:c>
      <x:c r="O17" s="128" t="n">
        <x:f>O12*Assumptions!$C$6</x:f>
        <x:v>5447.166690971395</x:v>
      </x:c>
      <x:c r="P17" s="128" t="n">
        <x:f>P12*Assumptions!$C$6</x:f>
        <x:v>6427.656695346246</x:v>
      </x:c>
      <x:c r="Q17" s="128" t="n">
        <x:f>Q12*Assumptions!$C$6</x:f>
        <x:v>7584.63490050857</x:v>
      </x:c>
      <x:c r="R17" s="128" t="n">
        <x:f>R12*Assumptions!$C$6</x:f>
        <x:v>8949.869182600112</x:v>
      </x:c>
      <x:c r="S17" s="128" t="n">
        <x:f>S12*Assumptions!$C$6</x:f>
        <x:v>10560.845635468133</x:v>
      </x:c>
      <x:c r="T17" s="128" t="n">
        <x:f>T12*Assumptions!$C$6</x:f>
        <x:v>12461.797849852395</x:v>
      </x:c>
      <x:c r="U17" s="128" t="n">
        <x:f>U12*Assumptions!$C$6</x:f>
        <x:v>14704.921462825827</x:v>
      </x:c>
      <x:c r="V17" s="128" t="n">
        <x:f>V12*Assumptions!$C$6</x:f>
        <x:v>17351.807326134473</x:v>
      </x:c>
      <x:c r="W17" s="128" t="n">
        <x:f>W12*Assumptions!$C$6</x:f>
        <x:v>20475.13264483868</x:v>
      </x:c>
      <x:c r="X17" s="128" t="n">
        <x:f>X12*Assumptions!$C$6</x:f>
        <x:v>24160.65652090964</x:v>
      </x:c>
      <x:c r="Y17" s="128" t="n">
        <x:f>Y12*Assumptions!$C$6</x:f>
        <x:v>28509.574694673374</x:v>
      </x:c>
      <x:c r="Z17" s="128" t="n">
        <x:f>Z12*Assumptions!$C$6</x:f>
        <x:v>33641.29813971458</x:v>
      </x:c>
      <x:c r="AA17" s="128" t="n">
        <x:f>AA12*Assumptions!$C$6</x:f>
        <x:v>39696.7318048632</x:v>
      </x:c>
      <x:c r="AB17" s="128" t="n">
        <x:f>AB12*Assumptions!$C$6</x:f>
        <x:v>46842.143529738576</x:v>
      </x:c>
      <x:c r="AC17" s="128" t="n">
        <x:f>AC12*Assumptions!$C$6</x:f>
        <x:v>55273.729365091516</x:v>
      </x:c>
      <x:c r="AD17" s="128" t="n">
        <x:f>AD12*Assumptions!$C$6</x:f>
        <x:v>65223.00065080798</x:v>
      </x:c>
      <x:c r="AE17" s="128" t="n">
        <x:f>AE12*Assumptions!$C$6</x:f>
        <x:v>76963.14076795342</x:v>
      </x:c>
      <x:c r="AF17" s="128" t="n">
        <x:f>AF12*Assumptions!$C$6</x:f>
        <x:v>90816.50610618504</x:v>
      </x:c>
      <x:c r="AG17" s="128" t="n">
        <x:f>AG12*Assumptions!$C$6</x:f>
        <x:v>107163.47720529835</x:v>
      </x:c>
      <x:c r="AH17" s="128" t="n">
        <x:f>AH12*Assumptions!$C$6</x:f>
        <x:v>126452.90310225204</x:v>
      </x:c>
      <x:c r="AI17" s="128" t="n">
        <x:f>AI12*Assumptions!$C$6</x:f>
        <x:v>149214.4256606574</x:v>
      </x:c>
      <x:c r="AJ17" s="128" t="n">
        <x:f>AJ12*Assumptions!$C$6</x:f>
        <x:v>176073.02227957573</x:v>
      </x:c>
      <x:c r="AK17" s="128" t="n">
        <x:f>AK12*Assumptions!$C$6</x:f>
        <x:v>207766.16628989932</x:v>
      </x:c>
      <x:c r="AL17" s="128" t="n">
        <x:f>AL12*Assumptions!$C$6</x:f>
        <x:v>245164.07622208123</x:v>
      </x:c>
      <x:c r="AM17" s="129" t="n">
        <x:f>AM12*Assumptions!$C$6</x:f>
        <x:v>289293.6099420558</x:v>
      </x:c>
      <x:c r="AN17" s="123"/>
    </x:row>
    <x:row r="18">
      <x:c r="A18" s="127" t="str">
        <x:v>6-month pass revenue</x:v>
      </x:c>
      <x:c r="B18" s="158" t="str">
        <x:v>MYR</x:v>
      </x:c>
      <x:c r="C18" s="158" t="str">
        <x:v>6-month users * price</x:v>
      </x:c>
      <x:c r="D18" s="128" t="n">
        <x:f>D13*Assumptions!$C$7</x:f>
        <x:v>948</x:v>
      </x:c>
      <x:c r="E18" s="128" t="n">
        <x:f>E13*Assumptions!$C$7</x:f>
        <x:v>1118.64</x:v>
      </x:c>
      <x:c r="F18" s="128" t="n">
        <x:f>F13*Assumptions!$C$7</x:f>
        <x:v>1319.9952</x:v>
      </x:c>
      <x:c r="G18" s="128" t="n">
        <x:f>G13*Assumptions!$C$7</x:f>
        <x:v>1557.594336</x:v>
      </x:c>
      <x:c r="H18" s="128" t="n">
        <x:f>H13*Assumptions!$C$7</x:f>
        <x:v>1837.9613164799998</x:v>
      </x:c>
      <x:c r="I18" s="128" t="n">
        <x:f>I13*Assumptions!$C$7</x:f>
        <x:v>2168.7943534464</x:v>
      </x:c>
      <x:c r="J18" s="128" t="n">
        <x:f>J13*Assumptions!$C$7</x:f>
        <x:v>2559.1773370667515</x:v>
      </x:c>
      <x:c r="K18" s="128" t="n">
        <x:f>K13*Assumptions!$C$7</x:f>
        <x:v>3019.8292577387665</x:v>
      </x:c>
      <x:c r="L18" s="128" t="n">
        <x:f>L13*Assumptions!$C$7</x:f>
        <x:v>3563.398524131744</x:v>
      </x:c>
      <x:c r="M18" s="128" t="n">
        <x:f>M13*Assumptions!$C$7</x:f>
        <x:v>4204.810258475459</x:v>
      </x:c>
      <x:c r="N18" s="128" t="n">
        <x:f>N13*Assumptions!$C$7</x:f>
        <x:v>4961.67610500104</x:v>
      </x:c>
      <x:c r="O18" s="128" t="n">
        <x:f>O13*Assumptions!$C$7</x:f>
        <x:v>5854.777803901228</x:v>
      </x:c>
      <x:c r="P18" s="128" t="n">
        <x:f>P13*Assumptions!$C$7</x:f>
        <x:v>6908.637808603448</x:v>
      </x:c>
      <x:c r="Q18" s="128" t="n">
        <x:f>Q13*Assumptions!$C$7</x:f>
        <x:v>8152.19261415207</x:v>
      </x:c>
      <x:c r="R18" s="128" t="n">
        <x:f>R13*Assumptions!$C$7</x:f>
        <x:v>9619.587284699443</x:v>
      </x:c>
      <x:c r="S18" s="128" t="n">
        <x:f>S13*Assumptions!$C$7</x:f>
        <x:v>11351.112995945341</x:v>
      </x:c>
      <x:c r="T18" s="128" t="n">
        <x:f>T13*Assumptions!$C$7</x:f>
        <x:v>13394.313335215502</x:v>
      </x:c>
      <x:c r="U18" s="128" t="n">
        <x:f>U13*Assumptions!$C$7</x:f>
        <x:v>15805.289735554292</x:v>
      </x:c>
      <x:c r="V18" s="128" t="n">
        <x:f>V13*Assumptions!$C$7</x:f>
        <x:v>18650.241887954064</x:v>
      </x:c>
      <x:c r="W18" s="128" t="n">
        <x:f>W13*Assumptions!$C$7</x:f>
        <x:v>22007.285427785795</x:v>
      </x:c>
      <x:c r="X18" s="128" t="n">
        <x:f>X13*Assumptions!$C$7</x:f>
        <x:v>25968.596804787234</x:v>
      </x:c>
      <x:c r="Y18" s="128" t="n">
        <x:f>Y13*Assumptions!$C$7</x:f>
        <x:v>30642.944229648936</x:v>
      </x:c>
      <x:c r="Z18" s="128" t="n">
        <x:f>Z13*Assumptions!$C$7</x:f>
        <x:v>36158.674190985745</x:v>
      </x:c>
      <x:c r="AA18" s="128" t="n">
        <x:f>AA13*Assumptions!$C$7</x:f>
        <x:v>42667.235545363175</x:v>
      </x:c>
      <x:c r="AB18" s="128" t="n">
        <x:f>AB13*Assumptions!$C$7</x:f>
        <x:v>50347.337943528546</x:v>
      </x:c>
      <x:c r="AC18" s="128" t="n">
        <x:f>AC13*Assumptions!$C$7</x:f>
        <x:v>59409.85877336368</x:v>
      </x:c>
      <x:c r="AD18" s="128" t="n">
        <x:f>AD13*Assumptions!$C$7</x:f>
        <x:v>70103.63335256913</x:v>
      </x:c>
      <x:c r="AE18" s="128" t="n">
        <x:f>AE13*Assumptions!$C$7</x:f>
        <x:v>82722.2873560316</x:v>
      </x:c>
      <x:c r="AF18" s="128" t="n">
        <x:f>AF13*Assumptions!$C$7</x:f>
        <x:v>97612.29908011727</x:v>
      </x:c>
      <x:c r="AG18" s="128" t="n">
        <x:f>AG13*Assumptions!$C$7</x:f>
        <x:v>115182.51291453837</x:v>
      </x:c>
      <x:c r="AH18" s="128" t="n">
        <x:f>AH13*Assumptions!$C$7</x:f>
        <x:v>135915.36523915525</x:v>
      </x:c>
      <x:c r="AI18" s="128" t="n">
        <x:f>AI13*Assumptions!$C$7</x:f>
        <x:v>160380.1309822032</x:v>
      </x:c>
      <x:c r="AJ18" s="128" t="n">
        <x:f>AJ13*Assumptions!$C$7</x:f>
        <x:v>189248.55455899975</x:v>
      </x:c>
      <x:c r="AK18" s="128" t="n">
        <x:f>AK13*Assumptions!$C$7</x:f>
        <x:v>223313.2943796197</x:v>
      </x:c>
      <x:c r="AL18" s="128" t="n">
        <x:f>AL13*Assumptions!$C$7</x:f>
        <x:v>263509.68736795126</x:v>
      </x:c>
      <x:c r="AM18" s="129" t="n">
        <x:f>AM13*Assumptions!$C$7</x:f>
        <x:v>310941.4310941824</x:v>
      </x:c>
      <x:c r="AN18" s="123"/>
    </x:row>
    <x:row r="19">
      <x:c r="A19" s="127" t="str">
        <x:v>Bundled AI revenue</x:v>
      </x:c>
      <x:c r="B19" s="158" t="str">
        <x:v>MYR</x:v>
      </x:c>
      <x:c r="C19" s="158" t="str">
        <x:v>AI upgrade users * upgrade price</x:v>
      </x:c>
      <x:c r="D19" s="128" t="n">
        <x:f>D14*Assumptions!$C$8</x:f>
        <x:v>142.5</x:v>
      </x:c>
      <x:c r="E19" s="128" t="n">
        <x:f>E14*Assumptions!$C$8</x:f>
        <x:v>168.15</x:v>
      </x:c>
      <x:c r="F19" s="128" t="n">
        <x:f>F14*Assumptions!$C$8</x:f>
        <x:v>198.417</x:v>
      </x:c>
      <x:c r="G19" s="128" t="n">
        <x:f>G14*Assumptions!$C$8</x:f>
        <x:v>234.13206</x:v>
      </x:c>
      <x:c r="H19" s="128" t="n">
        <x:f>H14*Assumptions!$C$8</x:f>
        <x:v>276.27583079999994</x:v>
      </x:c>
      <x:c r="I19" s="128" t="n">
        <x:f>I14*Assumptions!$C$8</x:f>
        <x:v>326.005480344</x:v>
      </x:c>
      <x:c r="J19" s="128" t="n">
        <x:f>J14*Assumptions!$C$8</x:f>
        <x:v>384.6864668059199</x:v>
      </x:c>
      <x:c r="K19" s="128" t="n">
        <x:f>K14*Assumptions!$C$8</x:f>
        <x:v>453.93003083098546</x:v>
      </x:c>
      <x:c r="L19" s="128" t="n">
        <x:f>L14*Assumptions!$C$8</x:f>
        <x:v>535.6374363805628</x:v>
      </x:c>
      <x:c r="M19" s="128" t="n">
        <x:f>M14*Assumptions!$C$8</x:f>
        <x:v>632.0521749290641</x:v>
      </x:c>
      <x:c r="N19" s="128" t="n">
        <x:f>N14*Assumptions!$C$8</x:f>
        <x:v>745.8215664162956</x:v>
      </x:c>
      <x:c r="O19" s="128" t="n">
        <x:f>O14*Assumptions!$C$8</x:f>
        <x:v>880.0694483712289</x:v>
      </x:c>
      <x:c r="P19" s="128" t="n">
        <x:f>P14*Assumptions!$C$8</x:f>
        <x:v>1038.4819490780499</x:v>
      </x:c>
      <x:c r="Q19" s="128" t="n">
        <x:f>Q14*Assumptions!$C$8</x:f>
        <x:v>1225.408699912099</x:v>
      </x:c>
      <x:c r="R19" s="128" t="n">
        <x:f>R14*Assumptions!$C$8</x:f>
        <x:v>1445.9822658962767</x:v>
      </x:c>
      <x:c r="S19" s="128" t="n">
        <x:f>S14*Assumptions!$C$8</x:f>
        <x:v>1706.2590737576065</x:v>
      </x:c>
      <x:c r="T19" s="128" t="n">
        <x:f>T14*Assumptions!$C$8</x:f>
        <x:v>2013.3857070339755</x:v>
      </x:c>
      <x:c r="U19" s="128" t="n">
        <x:f>U14*Assumptions!$C$8</x:f>
        <x:v>2375.795134300091</x:v>
      </x:c>
      <x:c r="V19" s="128" t="n">
        <x:f>V14*Assumptions!$C$8</x:f>
        <x:v>2803.4382584741074</x:v>
      </x:c>
      <x:c r="W19" s="128" t="n">
        <x:f>W14*Assumptions!$C$8</x:f>
        <x:v>3308.057144999447</x:v>
      </x:c>
      <x:c r="X19" s="128" t="n">
        <x:f>X14*Assumptions!$C$8</x:f>
        <x:v>3903.507431099347</x:v>
      </x:c>
      <x:c r="Y19" s="128" t="n">
        <x:f>Y14*Assumptions!$C$8</x:f>
        <x:v>4606.138768697229</x:v>
      </x:c>
      <x:c r="Z19" s="128" t="n">
        <x:f>Z14*Assumptions!$C$8</x:f>
        <x:v>5435.24374706273</x:v>
      </x:c>
      <x:c r="AA19" s="128" t="n">
        <x:f>AA14*Assumptions!$C$8</x:f>
        <x:v>6413.587621534021</x:v>
      </x:c>
      <x:c r="AB19" s="128" t="n">
        <x:f>AB14*Assumptions!$C$8</x:f>
        <x:v>7568.0333934101445</x:v>
      </x:c>
      <x:c r="AC19" s="128" t="n">
        <x:f>AC14*Assumptions!$C$8</x:f>
        <x:v>8930.279404223971</x:v>
      </x:c>
      <x:c r="AD19" s="128" t="n">
        <x:f>AD14*Assumptions!$C$8</x:f>
        <x:v>10537.729696984285</x:v>
      </x:c>
      <x:c r="AE19" s="128" t="n">
        <x:f>AE14*Assumptions!$C$8</x:f>
        <x:v>12434.521042441454</x:v>
      </x:c>
      <x:c r="AF19" s="128" t="n">
        <x:f>AF14*Assumptions!$C$8</x:f>
        <x:v>14672.734830080917</x:v>
      </x:c>
      <x:c r="AG19" s="128" t="n">
        <x:f>AG14*Assumptions!$C$8</x:f>
        <x:v>17313.827099495484</x:v>
      </x:c>
      <x:c r="AH19" s="128" t="n">
        <x:f>AH14*Assumptions!$C$8</x:f>
        <x:v>20430.315977404665</x:v>
      </x:c>
      <x:c r="AI19" s="128" t="n">
        <x:f>AI14*Assumptions!$C$8</x:f>
        <x:v>24107.772853337505</x:v>
      </x:c>
      <x:c r="AJ19" s="128" t="n">
        <x:f>AJ14*Assumptions!$C$8</x:f>
        <x:v>28447.171966938255</x:v>
      </x:c>
      <x:c r="AK19" s="128" t="n">
        <x:f>AK14*Assumptions!$C$8</x:f>
        <x:v>33567.66292098714</x:v>
      </x:c>
      <x:c r="AL19" s="128" t="n">
        <x:f>AL14*Assumptions!$C$8</x:f>
        <x:v>39609.84224676482</x:v>
      </x:c>
      <x:c r="AM19" s="129" t="n">
        <x:f>AM14*Assumptions!$C$8</x:f>
        <x:v>46739.61385118248</x:v>
      </x:c>
      <x:c r="AN19" s="123"/>
    </x:row>
    <x:row r="20">
      <x:c r="A20" s="127" t="str">
        <x:v>Gross revenue</x:v>
      </x:c>
      <x:c r="B20" s="158" t="str">
        <x:v>MYR</x:v>
      </x:c>
      <x:c r="C20" s="158" t="str">
        <x:v>Sum of revenue lines</x:v>
      </x:c>
      <x:c r="D20" s="128" t="n">
        <x:f>SUM(D17:D19)</x:f>
        <x:v>1972.5</x:v>
      </x:c>
      <x:c r="E20" s="128" t="n">
        <x:f>SUM(E17:E19)</x:f>
        <x:v>2327.55</x:v>
      </x:c>
      <x:c r="F20" s="128" t="n">
        <x:f>SUM(F17:F19)</x:f>
        <x:v>2746.509</x:v>
      </x:c>
      <x:c r="G20" s="128" t="n">
        <x:f>SUM(G17:G19)</x:f>
        <x:v>3240.88062</x:v>
      </x:c>
      <x:c r="H20" s="128" t="n">
        <x:f>SUM(H17:H19)</x:f>
        <x:v>3824.239131599999</x:v>
      </x:c>
      <x:c r="I20" s="128" t="n">
        <x:f>SUM(I17:I19)</x:f>
        <x:v>4512.602175288</x:v>
      </x:c>
      <x:c r="J20" s="128" t="n">
        <x:f>SUM(J17:J19)</x:f>
        <x:v>5324.870566839839</x:v>
      </x:c>
      <x:c r="K20" s="128" t="n">
        <x:f>SUM(K17:K19)</x:f>
        <x:v>6283.347268871009</x:v>
      </x:c>
      <x:c r="L20" s="128" t="n">
        <x:f>SUM(L17:L19)</x:f>
        <x:v>7414.34977726779</x:v>
      </x:c>
      <x:c r="M20" s="128" t="n">
        <x:f>SUM(M17:M19)</x:f>
        <x:v>8748.932737175994</x:v>
      </x:c>
      <x:c r="N20" s="128" t="n">
        <x:f>SUM(N17:N19)</x:f>
        <x:v>10323.740629867672</x:v>
      </x:c>
      <x:c r="O20" s="128" t="n">
        <x:f>SUM(O17:O19)</x:f>
        <x:v>12182.013943243852</x:v>
      </x:c>
      <x:c r="P20" s="128" t="n">
        <x:f>SUM(P17:P19)</x:f>
        <x:v>14374.776453027745</x:v>
      </x:c>
      <x:c r="Q20" s="128" t="n">
        <x:f>SUM(Q17:Q19)</x:f>
        <x:v>16962.23621457274</x:v>
      </x:c>
      <x:c r="R20" s="128" t="n">
        <x:f>SUM(R17:R19)</x:f>
        <x:v>20015.43873319583</x:v>
      </x:c>
      <x:c r="S20" s="128" t="n">
        <x:f>SUM(S17:S19)</x:f>
        <x:v>23618.21770517108</x:v>
      </x:c>
      <x:c r="T20" s="128" t="n">
        <x:f>SUM(T17:T19)</x:f>
        <x:v>27869.496892101874</x:v>
      </x:c>
      <x:c r="U20" s="128" t="n">
        <x:f>SUM(U17:U19)</x:f>
        <x:v>32886.00633268021</x:v>
      </x:c>
      <x:c r="V20" s="128" t="n">
        <x:f>SUM(V17:V19)</x:f>
        <x:v>38805.48747256264</x:v>
      </x:c>
      <x:c r="W20" s="128" t="n">
        <x:f>SUM(W17:W19)</x:f>
        <x:v>45790.47521762392</x:v>
      </x:c>
      <x:c r="X20" s="128" t="n">
        <x:f>SUM(X17:X19)</x:f>
        <x:v>54032.76075679622</x:v>
      </x:c>
      <x:c r="Y20" s="128" t="n">
        <x:f>SUM(Y17:Y19)</x:f>
        <x:v>63758.657693019544</x:v>
      </x:c>
      <x:c r="Z20" s="128" t="n">
        <x:f>SUM(Z17:Z19)</x:f>
        <x:v>75235.21607776305</x:v>
      </x:c>
      <x:c r="AA20" s="128" t="n">
        <x:f>SUM(AA17:AA19)</x:f>
        <x:v>88777.5549717604</x:v>
      </x:c>
      <x:c r="AB20" s="128" t="n">
        <x:f>SUM(AB17:AB19)</x:f>
        <x:v>104757.51486667727</x:v>
      </x:c>
      <x:c r="AC20" s="128" t="n">
        <x:f>SUM(AC17:AC19)</x:f>
        <x:v>123613.86754267917</x:v>
      </x:c>
      <x:c r="AD20" s="128" t="n">
        <x:f>SUM(AD17:AD19)</x:f>
        <x:v>145864.3637003614</x:v>
      </x:c>
      <x:c r="AE20" s="128" t="n">
        <x:f>SUM(AE17:AE19)</x:f>
        <x:v>172119.94916642646</x:v>
      </x:c>
      <x:c r="AF20" s="128" t="n">
        <x:f>SUM(AF17:AF19)</x:f>
        <x:v>203101.54001638322</x:v>
      </x:c>
      <x:c r="AG20" s="128" t="n">
        <x:f>SUM(AG17:AG19)</x:f>
        <x:v>239659.81721933218</x:v>
      </x:c>
      <x:c r="AH20" s="128" t="n">
        <x:f>SUM(AH17:AH19)</x:f>
        <x:v>282798.58431881195</x:v>
      </x:c>
      <x:c r="AI20" s="128" t="n">
        <x:f>SUM(AI17:AI19)</x:f>
        <x:v>333702.32949619816</x:v>
      </x:c>
      <x:c r="AJ20" s="128" t="n">
        <x:f>SUM(AJ17:AJ19)</x:f>
        <x:v>393768.7488055137</x:v>
      </x:c>
      <x:c r="AK20" s="128" t="n">
        <x:f>SUM(AK17:AK19)</x:f>
        <x:v>464647.12359050615</x:v>
      </x:c>
      <x:c r="AL20" s="128" t="n">
        <x:f>SUM(AL17:AL19)</x:f>
        <x:v>548283.6058367973</x:v>
      </x:c>
      <x:c r="AM20" s="129" t="n">
        <x:f>SUM(AM17:AM19)</x:f>
        <x:v>646974.6548874207</x:v>
      </x:c>
      <x:c r="AN20" s="123"/>
    </x:row>
    <x:row r="21">
      <x:c r="A21" s="127"/>
      <x:c r="B21" s="158"/>
      <x:c r="C21" s="158"/>
      <x:c r="D21" s="128"/>
      <x:c r="E21" s="128"/>
      <x:c r="F21" s="128"/>
      <x:c r="G21" s="128"/>
      <x:c r="H21" s="128"/>
      <x:c r="I21" s="128"/>
      <x:c r="J21" s="128"/>
      <x:c r="K21" s="128"/>
      <x:c r="L21" s="128"/>
      <x:c r="M21" s="128"/>
      <x:c r="N21" s="128"/>
      <x:c r="O21" s="128"/>
      <x:c r="P21" s="128"/>
      <x:c r="Q21" s="128"/>
      <x:c r="R21" s="128"/>
      <x:c r="S21" s="128"/>
      <x:c r="T21" s="128"/>
      <x:c r="U21" s="128"/>
      <x:c r="V21" s="128"/>
      <x:c r="W21" s="128"/>
      <x:c r="X21" s="128"/>
      <x:c r="Y21" s="128"/>
      <x:c r="Z21" s="128"/>
      <x:c r="AA21" s="128"/>
      <x:c r="AB21" s="128"/>
      <x:c r="AC21" s="128"/>
      <x:c r="AD21" s="128"/>
      <x:c r="AE21" s="128"/>
      <x:c r="AF21" s="128"/>
      <x:c r="AG21" s="128"/>
      <x:c r="AH21" s="128"/>
      <x:c r="AI21" s="128"/>
      <x:c r="AJ21" s="128"/>
      <x:c r="AK21" s="128"/>
      <x:c r="AL21" s="128"/>
      <x:c r="AM21" s="129"/>
      <x:c r="AN21" s="123"/>
    </x:row>
    <x:row r="22">
      <x:c r="A22" s="159" t="str">
        <x:v>COGS</x:v>
      </x:c>
      <x:c r="B22" s="158"/>
      <x:c r="C22" s="158"/>
      <x:c r="D22" s="128"/>
      <x:c r="E22" s="128"/>
      <x:c r="F22" s="128"/>
      <x:c r="G22" s="128"/>
      <x:c r="H22" s="128"/>
      <x:c r="I22" s="128"/>
      <x:c r="J22" s="128"/>
      <x:c r="K22" s="128"/>
      <x:c r="L22" s="128"/>
      <x:c r="M22" s="128"/>
      <x:c r="N22" s="128"/>
      <x:c r="O22" s="128"/>
      <x:c r="P22" s="128"/>
      <x:c r="Q22" s="128"/>
      <x:c r="R22" s="128"/>
      <x:c r="S22" s="128"/>
      <x:c r="T22" s="128"/>
      <x:c r="U22" s="128"/>
      <x:c r="V22" s="128"/>
      <x:c r="W22" s="128"/>
      <x:c r="X22" s="128"/>
      <x:c r="Y22" s="128"/>
      <x:c r="Z22" s="128"/>
      <x:c r="AA22" s="128"/>
      <x:c r="AB22" s="128"/>
      <x:c r="AC22" s="128"/>
      <x:c r="AD22" s="128"/>
      <x:c r="AE22" s="128"/>
      <x:c r="AF22" s="128"/>
      <x:c r="AG22" s="128"/>
      <x:c r="AH22" s="128"/>
      <x:c r="AI22" s="128"/>
      <x:c r="AJ22" s="128"/>
      <x:c r="AK22" s="128"/>
      <x:c r="AL22" s="128"/>
      <x:c r="AM22" s="129"/>
      <x:c r="AN22" s="123"/>
    </x:row>
    <x:row r="23">
      <x:c r="A23" s="127" t="str">
        <x:v>Payment processing fees</x:v>
      </x:c>
      <x:c r="B23" s="158" t="str">
        <x:v>MYR</x:v>
      </x:c>
      <x:c r="C23" s="158" t="str">
        <x:v>Gross revenue * fee rate + transactions * fixed fee</x:v>
      </x:c>
      <x:c r="D23" s="128" t="n">
        <x:f>D20*Assumptions!$C$15+D7*Assumptions!$C$16</x:f>
        <x:v>99.03750000000001</x:v>
      </x:c>
      <x:c r="E23" s="128" t="n">
        <x:f>E20*Assumptions!$C$15+E7*Assumptions!$C$16</x:f>
        <x:v>116.86425000000003</x:v>
      </x:c>
      <x:c r="F23" s="128" t="n">
        <x:f>F20*Assumptions!$C$15+F7*Assumptions!$C$16</x:f>
        <x:v>137.89981500000002</x:v>
      </x:c>
      <x:c r="G23" s="128" t="n">
        <x:f>G20*Assumptions!$C$15+G7*Assumptions!$C$16</x:f>
        <x:v>162.7217817</x:v>
      </x:c>
      <x:c r="H23" s="128" t="n">
        <x:f>H20*Assumptions!$C$15+H7*Assumptions!$C$16</x:f>
        <x:v>192.01170240599998</x:v>
      </x:c>
      <x:c r="I23" s="128" t="n">
        <x:f>I20*Assumptions!$C$15+I7*Assumptions!$C$16</x:f>
        <x:v>226.57380883908002</x:v>
      </x:c>
      <x:c r="J23" s="128" t="n">
        <x:f>J20*Assumptions!$C$15+J7*Assumptions!$C$16</x:f>
        <x:v>267.3570944301144</x:v>
      </x:c>
      <x:c r="K23" s="128" t="n">
        <x:f>K20*Assumptions!$C$15+K7*Assumptions!$C$16</x:f>
        <x:v>315.4813714275349</x:v>
      </x:c>
      <x:c r="L23" s="128" t="n">
        <x:f>L20*Assumptions!$C$15+L7*Assumptions!$C$16</x:f>
        <x:v>372.2680182844912</x:v>
      </x:c>
      <x:c r="M23" s="128" t="n">
        <x:f>M20*Assumptions!$C$15+M7*Assumptions!$C$16</x:f>
        <x:v>439.2762615756996</x:v>
      </x:c>
      <x:c r="N23" s="128" t="n">
        <x:f>N20*Assumptions!$C$15+N7*Assumptions!$C$16</x:f>
        <x:v>518.3459886593256</x:v>
      </x:c>
      <x:c r="O23" s="128" t="n">
        <x:f>O20*Assumptions!$C$15+O7*Assumptions!$C$16</x:f>
        <x:v>611.6482666180041</x:v>
      </x:c>
      <x:c r="P23" s="128" t="n">
        <x:f>P20*Assumptions!$C$15+P7*Assumptions!$C$16</x:f>
        <x:v>721.7449546092448</x:v>
      </x:c>
      <x:c r="Q23" s="128" t="n">
        <x:f>Q20*Assumptions!$C$15+Q7*Assumptions!$C$16</x:f>
        <x:v>851.6590464389088</x:v>
      </x:c>
      <x:c r="R23" s="128" t="n">
        <x:f>R20*Assumptions!$C$15+R7*Assumptions!$C$16</x:f>
        <x:v>1004.9576747979124</x:v>
      </x:c>
      <x:c r="S23" s="128" t="n">
        <x:f>S20*Assumptions!$C$15+S7*Assumptions!$C$16</x:f>
        <x:v>1185.8500562615366</x:v>
      </x:c>
      <x:c r="T23" s="128" t="n">
        <x:f>T20*Assumptions!$C$15+T7*Assumptions!$C$16</x:f>
        <x:v>1399.3030663886132</x:v>
      </x:c>
      <x:c r="U23" s="128" t="n">
        <x:f>U20*Assumptions!$C$15+U7*Assumptions!$C$16</x:f>
        <x:v>1651.1776183385634</x:v>
      </x:c>
      <x:c r="V23" s="128" t="n">
        <x:f>V20*Assumptions!$C$15+V7*Assumptions!$C$16</x:f>
        <x:v>1948.3895896395047</x:v>
      </x:c>
      <x:c r="W23" s="128" t="n">
        <x:f>W20*Assumptions!$C$15+W7*Assumptions!$C$16</x:f>
        <x:v>2299.0997157746156</x:v>
      </x:c>
      <x:c r="X23" s="128" t="n">
        <x:f>X20*Assumptions!$C$15+X7*Assumptions!$C$16</x:f>
        <x:v>2712.9376646140463</x:v>
      </x:c>
      <x:c r="Y23" s="128" t="n">
        <x:f>Y20*Assumptions!$C$15+Y7*Assumptions!$C$16</x:f>
        <x:v>3201.266444244575</x:v>
      </x:c>
      <x:c r="Z23" s="128" t="n">
        <x:f>Z20*Assumptions!$C$15+Z7*Assumptions!$C$16</x:f>
        <x:v>3777.494404208597</x:v>
      </x:c>
      <x:c r="AA23" s="128" t="n">
        <x:f>AA20*Assumptions!$C$15+AA7*Assumptions!$C$16</x:f>
        <x:v>4457.443396966145</x:v>
      </x:c>
      <x:c r="AB23" s="128" t="n">
        <x:f>AB20*Assumptions!$C$15+AB7*Assumptions!$C$16</x:f>
        <x:v>5259.783208420051</x:v>
      </x:c>
      <x:c r="AC23" s="128" t="n">
        <x:f>AC20*Assumptions!$C$15+AC7*Assumptions!$C$16</x:f>
        <x:v>6206.544185935661</x:v>
      </x:c>
      <x:c r="AD23" s="128" t="n">
        <x:f>AD20*Assumptions!$C$15+AD7*Assumptions!$C$16</x:f>
        <x:v>7323.722139404077</x:v>
      </x:c>
      <x:c r="AE23" s="128" t="n">
        <x:f>AE20*Assumptions!$C$15+AE7*Assumptions!$C$16</x:f>
        <x:v>8641.992124496812</x:v>
      </x:c>
      <x:c r="AF23" s="128" t="n">
        <x:f>AF20*Assumptions!$C$15+AF7*Assumptions!$C$16</x:f>
        <x:v>10197.550706906239</x:v>
      </x:c>
      <x:c r="AG23" s="128" t="n">
        <x:f>AG20*Assumptions!$C$15+AG7*Assumptions!$C$16</x:f>
        <x:v>12033.10983414936</x:v>
      </x:c>
      <x:c r="AH23" s="128" t="n">
        <x:f>AH20*Assumptions!$C$15+AH7*Assumptions!$C$16</x:f>
        <x:v>14199.069604296243</x:v>
      </x:c>
      <x:c r="AI23" s="128" t="n">
        <x:f>AI20*Assumptions!$C$15+AI7*Assumptions!$C$16</x:f>
        <x:v>16754.90213306957</x:v>
      </x:c>
      <x:c r="AJ23" s="128" t="n">
        <x:f>AJ20*Assumptions!$C$15+AJ7*Assumptions!$C$16</x:f>
        <x:v>19770.78451702209</x:v>
      </x:c>
      <x:c r="AK23" s="128" t="n">
        <x:f>AK20*Assumptions!$C$15+AK7*Assumptions!$C$16</x:f>
        <x:v>23329.52573008606</x:v>
      </x:c>
      <x:c r="AL23" s="128" t="n">
        <x:f>AL20*Assumptions!$C$15+AL7*Assumptions!$C$16</x:f>
        <x:v>27528.840361501552</x:v>
      </x:c>
      <x:c r="AM23" s="129" t="n">
        <x:f>AM20*Assumptions!$C$15+AM7*Assumptions!$C$16</x:f>
        <x:v>32484.03162657183</x:v>
      </x:c>
      <x:c r="AN23" s="123"/>
    </x:row>
    <x:row r="24">
      <x:c r="A24" s="127" t="str">
        <x:v>Bundled AI usage cost</x:v>
      </x:c>
      <x:c r="B24" s="158" t="str">
        <x:v>MYR</x:v>
      </x:c>
      <x:c r="C24" s="158" t="str">
        <x:v>Bundled AI users * cost/user</x:v>
      </x:c>
      <x:c r="D24" s="128" t="n">
        <x:f>D14*Assumptions!$C$17</x:f>
        <x:v>37.5</x:v>
      </x:c>
      <x:c r="E24" s="128" t="n">
        <x:f>E14*Assumptions!$C$17</x:f>
        <x:v>44.25</x:v>
      </x:c>
      <x:c r="F24" s="128" t="n">
        <x:f>F14*Assumptions!$C$17</x:f>
        <x:v>52.214999999999996</x:v>
      </x:c>
      <x:c r="G24" s="128" t="n">
        <x:f>G14*Assumptions!$C$17</x:f>
        <x:v>61.613699999999994</x:v>
      </x:c>
      <x:c r="H24" s="128" t="n">
        <x:f>H14*Assumptions!$C$17</x:f>
        <x:v>72.70416599999999</x:v>
      </x:c>
      <x:c r="I24" s="128" t="n">
        <x:f>I14*Assumptions!$C$17</x:f>
        <x:v>85.79091587999999</x:v>
      </x:c>
      <x:c r="J24" s="128" t="n">
        <x:f>J14*Assumptions!$C$17</x:f>
        <x:v>101.23328073839998</x:v>
      </x:c>
      <x:c r="K24" s="128" t="n">
        <x:f>K14*Assumptions!$C$17</x:f>
        <x:v>119.45527127131197</x:v>
      </x:c>
      <x:c r="L24" s="128" t="n">
        <x:f>L14*Assumptions!$C$17</x:f>
        <x:v>140.9572201001481</x:v>
      </x:c>
      <x:c r="M24" s="128" t="n">
        <x:f>M14*Assumptions!$C$17</x:f>
        <x:v>166.32951971817477</x:v>
      </x:c>
      <x:c r="N24" s="128" t="n">
        <x:f>N14*Assumptions!$C$17</x:f>
        <x:v>196.2688332674462</x:v>
      </x:c>
      <x:c r="O24" s="128" t="n">
        <x:f>O14*Assumptions!$C$17</x:f>
        <x:v>231.59722325558653</x:v>
      </x:c>
      <x:c r="P24" s="128" t="n">
        <x:f>P14*Assumptions!$C$17</x:f>
        <x:v>273.28472344159206</x:v>
      </x:c>
      <x:c r="Q24" s="128" t="n">
        <x:f>Q14*Assumptions!$C$17</x:f>
        <x:v>322.4759736610787</x:v>
      </x:c>
      <x:c r="R24" s="128" t="n">
        <x:f>R14*Assumptions!$C$17</x:f>
        <x:v>380.52164892007283</x:v>
      </x:c>
      <x:c r="S24" s="128" t="n">
        <x:f>S14*Assumptions!$C$17</x:f>
        <x:v>449.0155457256859</x:v>
      </x:c>
      <x:c r="T24" s="128" t="n">
        <x:f>T14*Assumptions!$C$17</x:f>
        <x:v>529.8383439563094</x:v>
      </x:c>
      <x:c r="U24" s="128" t="n">
        <x:f>U14*Assumptions!$C$17</x:f>
        <x:v>625.209245868445</x:v>
      </x:c>
      <x:c r="V24" s="128" t="n">
        <x:f>V14*Assumptions!$C$17</x:f>
        <x:v>737.7469101247651</x:v>
      </x:c>
      <x:c r="W24" s="128" t="n">
        <x:f>W14*Assumptions!$C$17</x:f>
        <x:v>870.5413539472228</x:v>
      </x:c>
      <x:c r="X24" s="128" t="n">
        <x:f>X14*Assumptions!$C$17</x:f>
        <x:v>1027.238797657723</x:v>
      </x:c>
      <x:c r="Y24" s="128" t="n">
        <x:f>Y14*Assumptions!$C$17</x:f>
        <x:v>1212.1417812361128</x:v>
      </x:c>
      <x:c r="Z24" s="128" t="n">
        <x:f>Z14*Assumptions!$C$17</x:f>
        <x:v>1430.327301858613</x:v>
      </x:c>
      <x:c r="AA24" s="128" t="n">
        <x:f>AA14*Assumptions!$C$17</x:f>
        <x:v>1687.7862161931635</x:v>
      </x:c>
      <x:c r="AB24" s="128" t="n">
        <x:f>AB14*Assumptions!$C$17</x:f>
        <x:v>1991.5877351079328</x:v>
      </x:c>
      <x:c r="AC24" s="128" t="n">
        <x:f>AC14*Assumptions!$C$17</x:f>
        <x:v>2350.0735274273607</x:v>
      </x:c>
      <x:c r="AD24" s="128" t="n">
        <x:f>AD14*Assumptions!$C$17</x:f>
        <x:v>2773.0867623642853</x:v>
      </x:c>
      <x:c r="AE24" s="128" t="n">
        <x:f>AE14*Assumptions!$C$17</x:f>
        <x:v>3272.2423795898567</x:v>
      </x:c>
      <x:c r="AF24" s="128" t="n">
        <x:f>AF14*Assumptions!$C$17</x:f>
        <x:v>3861.246007916031</x:v>
      </x:c>
      <x:c r="AG24" s="128" t="n">
        <x:f>AG14*Assumptions!$C$17</x:f>
        <x:v>4556.270289340917</x:v>
      </x:c>
      <x:c r="AH24" s="128" t="n">
        <x:f>AH14*Assumptions!$C$17</x:f>
        <x:v>5376.398941422281</x:v>
      </x:c>
      <x:c r="AI24" s="128" t="n">
        <x:f>AI14*Assumptions!$C$17</x:f>
        <x:v>6344.150750878291</x:v>
      </x:c>
      <x:c r="AJ24" s="128" t="n">
        <x:f>AJ14*Assumptions!$C$17</x:f>
        <x:v>7486.097886036383</x:v>
      </x:c>
      <x:c r="AK24" s="128" t="n">
        <x:f>AK14*Assumptions!$C$17</x:f>
        <x:v>8833.595505522931</x:v>
      </x:c>
      <x:c r="AL24" s="128" t="n">
        <x:f>AL14*Assumptions!$C$17</x:f>
        <x:v>10423.642696517058</x:v>
      </x:c>
      <x:c r="AM24" s="129" t="n">
        <x:f>AM14*Assumptions!$C$17</x:f>
        <x:v>12299.898381890127</x:v>
      </x:c>
      <x:c r="AN24" s="123"/>
    </x:row>
    <x:row r="25">
      <x:c r="A25" s="127" t="str">
        <x:v>Infrastructure and email</x:v>
      </x:c>
      <x:c r="B25" s="158" t="str">
        <x:v>MYR</x:v>
      </x:c>
      <x:c r="C25" s="158" t="str">
        <x:v>Active users * infrastructure cost/user/month</x:v>
      </x:c>
      <x:c r="D25" s="128" t="n">
        <x:f>D9*Assumptions!$C$18</x:f>
        <x:v>24</x:v>
      </x:c>
      <x:c r="E25" s="128" t="n">
        <x:f>E9*Assumptions!$C$18</x:f>
        <x:v>51.6</x:v>
      </x:c>
      <x:c r="F25" s="128" t="n">
        <x:f>F9*Assumptions!$C$18</x:f>
        <x:v>83.4696</x:v>
      </x:c>
      <x:c r="G25" s="128" t="n">
        <x:f>G9*Assumptions!$C$18</x:f>
        <x:v>120.39827999999999</x:v>
      </x:c>
      <x:c r="H25" s="128" t="n">
        <x:f>H9*Assumptions!$C$18</x:f>
        <x:v>163.31699783999997</x:v>
      </x:c>
      <x:c r="I25" s="128" t="n">
        <x:f>I9*Assumptions!$C$18</x:f>
        <x:v>213.32367406799995</x:v>
      </x:c>
      <x:c r="J25" s="128" t="n">
        <x:f>J9*Assumptions!$C$18</x:f>
        <x:v>271.71326351853594</x:v>
      </x:c>
      <x:c r="K25" s="128" t="n">
        <x:f>K9*Assumptions!$C$18</x:f>
        <x:v>340.0132392266196</x:v>
      </x:c>
      <x:c r="L25" s="128" t="n">
        <x:f>L9*Assumptions!$C$18</x:f>
        <x:v>420.0254629139158</x:v>
      </x:c>
      <x:c r="M25" s="128" t="n">
        <x:f>M9*Assumptions!$C$18</x:f>
        <x:v>513.8755916461303</x:v>
      </x:c>
      <x:c r="N25" s="128" t="n">
        <x:f>N9*Assumptions!$C$18</x:f>
        <x:v>624.0713771879118</x:v>
      </x:c>
      <x:c r="O25" s="128" t="n">
        <x:f>O9*Assumptions!$C$18</x:f>
        <x:v>753.5714587558499</x:v>
      </x:c>
      <x:c r="P25" s="128" t="n">
        <x:f>P9*Assumptions!$C$18</x:f>
        <x:v>905.8665379957934</x:v>
      </x:c>
      <x:c r="Q25" s="128" t="n">
        <x:f>Q9*Assumptions!$C$18</x:f>
        <x:v>1085.0751649990098</x:v>
      </x:c>
      <x:c r="R25" s="128" t="n">
        <x:f>R9*Assumptions!$C$18</x:f>
        <x:v>1296.0567653578862</x:v>
      </x:c>
      <x:c r="S25" s="128" t="n">
        <x:f>S9*Assumptions!$C$18</x:f>
        <x:v>1544.5450116615884</x:v>
      </x:c>
      <x:c r="T25" s="128" t="n">
        <x:f>T9*Assumptions!$C$18</x:f>
        <x:v>1837.305201443779</x:v>
      </x:c>
      <x:c r="U25" s="128" t="n">
        <x:f>U9*Assumptions!$C$18</x:f>
        <x:v>2182.3199627562703</x:v>
      </x:c>
      <x:c r="V25" s="128" t="n">
        <x:f>V9*Assumptions!$C$18</x:f>
        <x:v>2589.0083863534323</x:v>
      </x:c>
      <x:c r="W25" s="128" t="n">
        <x:f>W9*Assumptions!$C$18</x:f>
        <x:v>3068.484601289052</x:v>
      </x:c>
      <x:c r="X25" s="128" t="n">
        <x:f>X9*Assumptions!$C$18</x:f>
        <x:v>3633.8628937513236</x:v>
      </x:c>
      <x:c r="Y25" s="128" t="n">
        <x:f>Y9*Assumptions!$C$18</x:f>
        <x:v>4300.6177469298955</x:v>
      </x:c>
      <x:c r="Z25" s="128" t="n">
        <x:f>Z9*Assumptions!$C$18</x:f>
        <x:v>5087.008687711511</x:v>
      </x:c>
      <x:c r="AA25" s="128" t="n">
        <x:f>AA9*Assumptions!$C$18</x:f>
        <x:v>6014.58160544379</x:v>
      </x:c>
      <x:c r="AB25" s="128" t="n">
        <x:f>AB9*Assumptions!$C$18</x:f>
        <x:v>7108.760307749555</x:v>
      </x:c>
      <x:c r="AC25" s="128" t="n">
        <x:f>AC9*Assumptions!$C$18</x:f>
        <x:v>8399.544556070578</x:v>
      </x:c>
      <x:c r="AD25" s="128" t="n">
        <x:f>AD9*Assumptions!$C$18</x:f>
        <x:v>9922.333747301604</x:v>
      </x:c>
      <x:c r="AE25" s="128" t="n">
        <x:f>AE9*Assumptions!$C$18</x:f>
        <x:v>11718.898857820064</x:v>
      </x:c>
      <x:c r="AF25" s="128" t="n">
        <x:f>AF9*Assumptions!$C$18</x:f>
        <x:v>13838.529337151722</x:v>
      </x:c>
      <x:c r="AG25" s="128" t="n">
        <x:f>AG9*Assumptions!$C$18</x:f>
        <x:v>16339.386442215357</x:v>
      </x:c>
      <x:c r="AH25" s="128" t="n">
        <x:f>AH9*Assumptions!$C$18</x:f>
        <x:v>19290.100171459155</x:v>
      </x:c>
      <x:c r="AI25" s="128" t="n">
        <x:f>AI9*Assumptions!$C$18</x:f>
        <x:v>22771.653646877487</x:v>
      </x:c>
      <x:c r="AJ25" s="128" t="n">
        <x:f>AJ9*Assumptions!$C$18</x:f>
        <x:v>26879.606684534447</x:v>
      </x:c>
      <x:c r="AK25" s="128" t="n">
        <x:f>AK9*Assumptions!$C$18</x:f>
        <x:v>31726.71960753309</x:v>
      </x:c>
      <x:c r="AL25" s="128" t="n">
        <x:f>AL9*Assumptions!$C$18</x:f>
        <x:v>37446.04934507802</x:v>
      </x:c>
      <x:c r="AM25" s="129" t="n">
        <x:f>AM9*Assumptions!$C$18</x:f>
        <x:v>44194.60282913536</x:v>
      </x:c>
      <x:c r="AN25" s="123"/>
    </x:row>
    <x:row r="26">
      <x:c r="A26" s="127" t="str">
        <x:v>Total COGS</x:v>
      </x:c>
      <x:c r="B26" s="158" t="str">
        <x:v>MYR</x:v>
      </x:c>
      <x:c r="C26" s="158" t="str">
        <x:v>Sum of COGS lines</x:v>
      </x:c>
      <x:c r="D26" s="128" t="n">
        <x:f>SUM(D23:D25)</x:f>
        <x:v>160.53750000000002</x:v>
      </x:c>
      <x:c r="E26" s="128" t="n">
        <x:f>SUM(E23:E25)</x:f>
        <x:v>212.71425000000002</x:v>
      </x:c>
      <x:c r="F26" s="128" t="n">
        <x:f>SUM(F23:F25)</x:f>
        <x:v>273.58441500000004</x:v>
      </x:c>
      <x:c r="G26" s="128" t="n">
        <x:f>SUM(G23:G25)</x:f>
        <x:v>344.7337617</x:v>
      </x:c>
      <x:c r="H26" s="128" t="n">
        <x:f>SUM(H23:H25)</x:f>
        <x:v>428.0328662459999</x:v>
      </x:c>
      <x:c r="I26" s="128" t="n">
        <x:f>SUM(I23:I25)</x:f>
        <x:v>525.6883987870799</x:v>
      </x:c>
      <x:c r="J26" s="128" t="n">
        <x:f>SUM(J23:J25)</x:f>
        <x:v>640.3036386870504</x:v>
      </x:c>
      <x:c r="K26" s="128" t="n">
        <x:f>SUM(K23:K25)</x:f>
        <x:v>774.9498819254665</x:v>
      </x:c>
      <x:c r="L26" s="128" t="n">
        <x:f>SUM(L23:L25)</x:f>
        <x:v>933.2507012985551</x:v>
      </x:c>
      <x:c r="M26" s="128" t="n">
        <x:f>SUM(M23:M25)</x:f>
        <x:v>1119.4813729400046</x:v>
      </x:c>
      <x:c r="N26" s="128" t="n">
        <x:f>SUM(N23:N25)</x:f>
        <x:v>1338.6861991146836</x:v>
      </x:c>
      <x:c r="O26" s="128" t="n">
        <x:f>SUM(O23:O25)</x:f>
        <x:v>1596.8169486294405</x:v>
      </x:c>
      <x:c r="P26" s="128" t="n">
        <x:f>SUM(P23:P25)</x:f>
        <x:v>1900.8962160466303</x:v>
      </x:c>
      <x:c r="Q26" s="128" t="n">
        <x:f>SUM(Q23:Q25)</x:f>
        <x:v>2259.2101850989975</x:v>
      </x:c>
      <x:c r="R26" s="128" t="n">
        <x:f>SUM(R23:R25)</x:f>
        <x:v>2681.536089075871</x:v>
      </x:c>
      <x:c r="S26" s="128" t="n">
        <x:f>SUM(S23:S25)</x:f>
        <x:v>3179.410613648811</x:v>
      </x:c>
      <x:c r="T26" s="128" t="n">
        <x:f>SUM(T23:T25)</x:f>
        <x:v>3766.4466117887014</x:v>
      </x:c>
      <x:c r="U26" s="128" t="n">
        <x:f>SUM(U23:U25)</x:f>
        <x:v>4458.706826963278</x:v>
      </x:c>
      <x:c r="V26" s="128" t="n">
        <x:f>SUM(V23:V25)</x:f>
        <x:v>5275.144886117702</x:v>
      </x:c>
      <x:c r="W26" s="128" t="n">
        <x:f>SUM(W23:W25)</x:f>
        <x:v>6238.12567101089</x:v>
      </x:c>
      <x:c r="X26" s="128" t="n">
        <x:f>SUM(X23:X25)</x:f>
        <x:v>7374.039356023093</x:v>
      </x:c>
      <x:c r="Y26" s="128" t="n">
        <x:f>SUM(Y23:Y25)</x:f>
        <x:v>8714.025972410582</x:v>
      </x:c>
      <x:c r="Z26" s="128" t="n">
        <x:f>SUM(Z23:Z25)</x:f>
        <x:v>10294.83039377872</x:v>
      </x:c>
      <x:c r="AA26" s="128" t="n">
        <x:f>SUM(AA23:AA25)</x:f>
        <x:v>12159.8112186031</x:v>
      </x:c>
      <x:c r="AB26" s="128" t="n">
        <x:f>SUM(AB23:AB25)</x:f>
        <x:v>14360.131251277538</x:v>
      </x:c>
      <x:c r="AC26" s="128" t="n">
        <x:f>SUM(AC23:AC25)</x:f>
        <x:v>16956.162269433597</x:v>
      </x:c>
      <x:c r="AD26" s="128" t="n">
        <x:f>SUM(AD23:AD25)</x:f>
        <x:v>20019.142649069967</x:v>
      </x:c>
      <x:c r="AE26" s="128" t="n">
        <x:f>SUM(AE23:AE25)</x:f>
        <x:v>23633.13336190673</x:v>
      </x:c>
      <x:c r="AF26" s="128" t="n">
        <x:f>SUM(AF23:AF25)</x:f>
        <x:v>27897.326051973992</x:v>
      </x:c>
      <x:c r="AG26" s="128" t="n">
        <x:f>SUM(AG23:AG25)</x:f>
        <x:v>32928.766565705635</x:v>
      </x:c>
      <x:c r="AH26" s="128" t="n">
        <x:f>SUM(AH23:AH25)</x:f>
        <x:v>38865.56871717768</x:v>
      </x:c>
      <x:c r="AI26" s="128" t="n">
        <x:f>SUM(AI23:AI25)</x:f>
        <x:v>45870.706530825344</x:v>
      </x:c>
      <x:c r="AJ26" s="128" t="n">
        <x:f>SUM(AJ23:AJ25)</x:f>
        <x:v>54136.48908759292</x:v>
      </x:c>
      <x:c r="AK26" s="128" t="n">
        <x:f>SUM(AK23:AK25)</x:f>
        <x:v>63889.84084314208</x:v>
      </x:c>
      <x:c r="AL26" s="128" t="n">
        <x:f>SUM(AL23:AL25)</x:f>
        <x:v>75398.53240309663</x:v>
      </x:c>
      <x:c r="AM26" s="129" t="n">
        <x:f>SUM(AM23:AM25)</x:f>
        <x:v>88978.5328375973</x:v>
      </x:c>
      <x:c r="AN26" s="123"/>
    </x:row>
    <x:row r="27">
      <x:c r="A27" s="127"/>
      <x:c r="B27" s="158"/>
      <x:c r="C27" s="158"/>
      <x:c r="D27" s="128"/>
      <x:c r="E27" s="128"/>
      <x:c r="F27" s="128"/>
      <x:c r="G27" s="128"/>
      <x:c r="H27" s="128"/>
      <x:c r="I27" s="128"/>
      <x:c r="J27" s="128"/>
      <x:c r="K27" s="128"/>
      <x:c r="L27" s="128"/>
      <x:c r="M27" s="128"/>
      <x:c r="N27" s="128"/>
      <x:c r="O27" s="128"/>
      <x:c r="P27" s="128"/>
      <x:c r="Q27" s="128"/>
      <x:c r="R27" s="128"/>
      <x:c r="S27" s="128"/>
      <x:c r="T27" s="128"/>
      <x:c r="U27" s="128"/>
      <x:c r="V27" s="128"/>
      <x:c r="W27" s="128"/>
      <x:c r="X27" s="128"/>
      <x:c r="Y27" s="128"/>
      <x:c r="Z27" s="128"/>
      <x:c r="AA27" s="128"/>
      <x:c r="AB27" s="128"/>
      <x:c r="AC27" s="128"/>
      <x:c r="AD27" s="128"/>
      <x:c r="AE27" s="128"/>
      <x:c r="AF27" s="128"/>
      <x:c r="AG27" s="128"/>
      <x:c r="AH27" s="128"/>
      <x:c r="AI27" s="128"/>
      <x:c r="AJ27" s="128"/>
      <x:c r="AK27" s="128"/>
      <x:c r="AL27" s="128"/>
      <x:c r="AM27" s="129"/>
      <x:c r="AN27" s="123"/>
    </x:row>
    <x:row r="28">
      <x:c r="A28" s="159" t="str">
        <x:v>Gross Profit</x:v>
      </x:c>
      <x:c r="B28" s="158"/>
      <x:c r="C28" s="158"/>
      <x:c r="D28" s="128"/>
      <x:c r="E28" s="128"/>
      <x:c r="F28" s="128"/>
      <x:c r="G28" s="128"/>
      <x:c r="H28" s="128"/>
      <x:c r="I28" s="128"/>
      <x:c r="J28" s="128"/>
      <x:c r="K28" s="128"/>
      <x:c r="L28" s="128"/>
      <x:c r="M28" s="128"/>
      <x:c r="N28" s="128"/>
      <x:c r="O28" s="128"/>
      <x:c r="P28" s="128"/>
      <x:c r="Q28" s="128"/>
      <x:c r="R28" s="128"/>
      <x:c r="S28" s="128"/>
      <x:c r="T28" s="128"/>
      <x:c r="U28" s="128"/>
      <x:c r="V28" s="128"/>
      <x:c r="W28" s="128"/>
      <x:c r="X28" s="128"/>
      <x:c r="Y28" s="128"/>
      <x:c r="Z28" s="128"/>
      <x:c r="AA28" s="128"/>
      <x:c r="AB28" s="128"/>
      <x:c r="AC28" s="128"/>
      <x:c r="AD28" s="128"/>
      <x:c r="AE28" s="128"/>
      <x:c r="AF28" s="128"/>
      <x:c r="AG28" s="128"/>
      <x:c r="AH28" s="128"/>
      <x:c r="AI28" s="128"/>
      <x:c r="AJ28" s="128"/>
      <x:c r="AK28" s="128"/>
      <x:c r="AL28" s="128"/>
      <x:c r="AM28" s="129"/>
      <x:c r="AN28" s="123"/>
    </x:row>
    <x:row r="29">
      <x:c r="A29" s="127" t="str">
        <x:v>Gross profit</x:v>
      </x:c>
      <x:c r="B29" s="158" t="str">
        <x:v>MYR</x:v>
      </x:c>
      <x:c r="C29" s="158" t="str">
        <x:v>Gross revenue - COGS</x:v>
      </x:c>
      <x:c r="D29" s="128" t="n">
        <x:f>D20-D26</x:f>
        <x:v>1811.9625</x:v>
      </x:c>
      <x:c r="E29" s="128" t="n">
        <x:f>E20-E26</x:f>
        <x:v>2114.83575</x:v>
      </x:c>
      <x:c r="F29" s="128" t="n">
        <x:f>F20-F26</x:f>
        <x:v>2472.9245849999998</x:v>
      </x:c>
      <x:c r="G29" s="128" t="n">
        <x:f>G20-G26</x:f>
        <x:v>2896.1468583</x:v>
      </x:c>
      <x:c r="H29" s="128" t="n">
        <x:f>H20-H26</x:f>
        <x:v>3396.206265353999</x:v>
      </x:c>
      <x:c r="I29" s="128" t="n">
        <x:f>I20-I26</x:f>
        <x:v>3986.91377650092</x:v>
      </x:c>
      <x:c r="J29" s="128" t="n">
        <x:f>J20-J26</x:f>
        <x:v>4684.566928152788</x:v>
      </x:c>
      <x:c r="K29" s="128" t="n">
        <x:f>K20-K26</x:f>
        <x:v>5508.397386945542</x:v>
      </x:c>
      <x:c r="L29" s="128" t="n">
        <x:f>L20-L26</x:f>
        <x:v>6481.099075969235</x:v>
      </x:c>
      <x:c r="M29" s="128" t="n">
        <x:f>M20-M26</x:f>
        <x:v>7629.451364235989</x:v>
      </x:c>
      <x:c r="N29" s="128" t="n">
        <x:f>N20-N26</x:f>
        <x:v>8985.054430752989</x:v>
      </x:c>
      <x:c r="O29" s="128" t="n">
        <x:f>O20-O26</x:f>
        <x:v>10585.19699461441</x:v>
      </x:c>
      <x:c r="P29" s="128" t="n">
        <x:f>P20-P26</x:f>
        <x:v>12473.880236981115</x:v>
      </x:c>
      <x:c r="Q29" s="128" t="n">
        <x:f>Q20-Q26</x:f>
        <x:v>14703.026029473742</x:v>
      </x:c>
      <x:c r="R29" s="128" t="n">
        <x:f>R20-R26</x:f>
        <x:v>17333.90264411996</x:v>
      </x:c>
      <x:c r="S29" s="128" t="n">
        <x:f>S20-S26</x:f>
        <x:v>20438.807091522267</x:v>
      </x:c>
      <x:c r="T29" s="128" t="n">
        <x:f>T20-T26</x:f>
        <x:v>24103.05028031317</x:v>
      </x:c>
      <x:c r="U29" s="128" t="n">
        <x:f>U20-U26</x:f>
        <x:v>28427.299505716932</x:v>
      </x:c>
      <x:c r="V29" s="128" t="n">
        <x:f>V20-V26</x:f>
        <x:v>33530.34258644494</x:v>
      </x:c>
      <x:c r="W29" s="128" t="n">
        <x:f>W20-W26</x:f>
        <x:v>39552.349546613026</x:v>
      </x:c>
      <x:c r="X29" s="128" t="n">
        <x:f>X20-X26</x:f>
        <x:v>46658.72140077312</x:v>
      </x:c>
      <x:c r="Y29" s="128" t="n">
        <x:f>Y20-Y26</x:f>
        <x:v>55044.63172060896</x:v>
      </x:c>
      <x:c r="Z29" s="128" t="n">
        <x:f>Z20-Z26</x:f>
        <x:v>64940.38568398433</x:v>
      </x:c>
      <x:c r="AA29" s="128" t="n">
        <x:f>AA20-AA26</x:f>
        <x:v>76617.7437531573</x:v>
      </x:c>
      <x:c r="AB29" s="128" t="n">
        <x:f>AB20-AB26</x:f>
        <x:v>90397.38361539974</x:v>
      </x:c>
      <x:c r="AC29" s="128" t="n">
        <x:f>AC20-AC26</x:f>
        <x:v>106657.70527324558</x:v>
      </x:c>
      <x:c r="AD29" s="128" t="n">
        <x:f>AD20-AD26</x:f>
        <x:v>125845.22105129143</x:v>
      </x:c>
      <x:c r="AE29" s="128" t="n">
        <x:f>AE20-AE26</x:f>
        <x:v>148486.81580451975</x:v>
      </x:c>
      <x:c r="AF29" s="128" t="n">
        <x:f>AF20-AF26</x:f>
        <x:v>175204.21396440922</x:v>
      </x:c>
      <x:c r="AG29" s="128" t="n">
        <x:f>AG20-AG26</x:f>
        <x:v>206731.05065362656</x:v>
      </x:c>
      <x:c r="AH29" s="128" t="n">
        <x:f>AH20-AH26</x:f>
        <x:v>243933.01560163428</x:v>
      </x:c>
      <x:c r="AI29" s="128" t="n">
        <x:f>AI20-AI26</x:f>
        <x:v>287831.6229653728</x:v>
      </x:c>
      <x:c r="AJ29" s="128" t="n">
        <x:f>AJ20-AJ26</x:f>
        <x:v>339632.2597179208</x:v>
      </x:c>
      <x:c r="AK29" s="128" t="n">
        <x:f>AK20-AK26</x:f>
        <x:v>400757.2827473641</x:v>
      </x:c>
      <x:c r="AL29" s="128" t="n">
        <x:f>AL20-AL26</x:f>
        <x:v>472885.07343370066</x:v>
      </x:c>
      <x:c r="AM29" s="129" t="n">
        <x:f>AM20-AM26</x:f>
        <x:v>557996.1220498234</x:v>
      </x:c>
      <x:c r="AN29" s="123"/>
    </x:row>
    <x:row r="30">
      <x:c r="A30" s="127" t="str">
        <x:v>Gross margin</x:v>
      </x:c>
      <x:c r="B30" s="158" t="str">
        <x:v>%</x:v>
      </x:c>
      <x:c r="C30" s="158" t="str">
        <x:v>Gross profit / gross revenue</x:v>
      </x:c>
      <x:c r="D30" s="166" t="n">
        <x:f>IFERROR(D29/D20,0)</x:f>
        <x:v>0.9186121673003803</x:v>
      </x:c>
      <x:c r="E30" s="166" t="n">
        <x:f>IFERROR(E29/E20,0)</x:f>
        <x:v>0.9086102339369724</x:v>
      </x:c>
      <x:c r="F30" s="166" t="n">
        <x:f>IFERROR(F29/F20,0)</x:f>
        <x:v>0.9003883056636623</x:v>
      </x:c>
      <x:c r="G30" s="166" t="n">
        <x:f>IFERROR(G29/G20,0)</x:f>
        <x:v>0.8936296019135689</x:v>
      </x:c>
      <x:c r="H30" s="166" t="n">
        <x:f>IFERROR(H29/H20,0)</x:f>
        <x:v>0.88807371832239</x:v>
      </x:c>
      <x:c r="I30" s="166" t="n">
        <x:f>IFERROR(I29/I20,0)</x:f>
        <x:v>0.8835065936754042</x:v>
      </x:c>
      <x:c r="J30" s="166" t="n">
        <x:f>IFERROR(J29/J20,0)</x:f>
        <x:v>0.879752262397797</x:v>
      </x:c>
      <x:c r="K30" s="166" t="n">
        <x:f>IFERROR(K29/K20,0)</x:f>
        <x:v>0.876666074822137</x:v>
      </x:c>
      <x:c r="L30" s="166" t="n">
        <x:f>IFERROR(L29/L20,0)</x:f>
        <x:v>0.8741291240184165</x:v>
      </x:c>
      <x:c r="M30" s="166" t="n">
        <x:f>IFERROR(M29/M20,0)</x:f>
        <x:v>0.8720436644594259</x:v>
      </x:c>
      <x:c r="N30" s="166" t="n">
        <x:f>IFERROR(N29/N20,0)</x:f>
        <x:v>0.8703293460083913</x:v>
      </x:c>
      <x:c r="O30" s="166" t="n">
        <x:f>IFERROR(O29/O20,0)</x:f>
        <x:v>0.8689201181291509</x:v>
      </x:c>
      <x:c r="P30" s="166" t="n">
        <x:f>IFERROR(P29/P20,0)</x:f>
        <x:v>0.8677616850419787</x:v>
      </x:c>
      <x:c r="Q30" s="166" t="n">
        <x:f>IFERROR(Q29/Q20,0)</x:f>
        <x:v>0.8668094137754051</x:v>
      </x:c>
      <x:c r="R30" s="166" t="n">
        <x:f>IFERROR(R29/R20,0)</x:f>
        <x:v>0.8660266145138995</x:v>
      </x:c>
      <x:c r="S30" s="166" t="n">
        <x:f>IFERROR(S29/S20,0)</x:f>
        <x:v>0.8653831269853738</x:v>
      </x:c>
      <x:c r="T30" s="166" t="n">
        <x:f>IFERROR(T29/T20,0)</x:f>
        <x:v>0.8648541584237891</x:v>
      </x:c>
      <x:c r="U30" s="166" t="n">
        <x:f>IFERROR(U29/U20,0)</x:f>
        <x:v>0.8644193283350288</x:v>
      </x:c>
      <x:c r="V30" s="166" t="n">
        <x:f>IFERROR(V29/V20,0)</x:f>
        <x:v>0.8640618832620648</x:v>
      </x:c>
      <x:c r="W30" s="166" t="n">
        <x:f>IFERROR(W29/W20,0)</x:f>
        <x:v>0.8637680512953062</x:v>
      </x:c>
      <x:c r="X30" s="166" t="n">
        <x:f>IFERROR(X29/X20,0)</x:f>
        <x:v>0.8635265114582251</x:v>
      </x:c>
      <x:c r="Y30" s="166" t="n">
        <x:f>IFERROR(Y29/Y20,0)</x:f>
        <x:v>0.8633279575243533</x:v>
      </x:c>
      <x:c r="Z30" s="166" t="n">
        <x:f>IFERROR(Z29/Z20,0)</x:f>
        <x:v>0.8631647394600689</x:v>
      </x:c>
      <x:c r="AA30" s="166" t="n">
        <x:f>IFERROR(AA29/AA20,0)</x:f>
        <x:v>0.8630305686784112</x:v>
      </x:c>
      <x:c r="AB30" s="166" t="n">
        <x:f>IFERROR(AB29/AB20,0)</x:f>
        <x:v>0.8629202757477268</x:v>
      </x:c>
      <x:c r="AC30" s="166" t="n">
        <x:f>IFERROR(AC29/AC20,0)</x:f>
        <x:v>0.8628296112199606</x:v>
      </x:c>
      <x:c r="AD30" s="166" t="n">
        <x:f>IFERROR(AD29/AD20,0)</x:f>
        <x:v>0.8627550819047629</x:v>
      </x:c>
      <x:c r="AE30" s="166" t="n">
        <x:f>IFERROR(AE29/AE20,0)</x:f>
        <x:v>0.8626938162812532</x:v>
      </x:c>
      <x:c r="AF30" s="166" t="n">
        <x:f>IFERROR(AF29/AF20,0)</x:f>
        <x:v>0.8626434538619271</x:v>
      </x:c>
      <x:c r="AG30" s="166" t="n">
        <x:f>IFERROR(AG29/AG20,0)</x:f>
        <x:v>0.8626020542460406</x:v>
      </x:c>
      <x:c r="AH30" s="166" t="n">
        <x:f>IFERROR(AH29/AH20,0)</x:f>
        <x:v>0.862568022358405</x:v>
      </x:c>
      <x:c r="AI30" s="166" t="n">
        <x:f>IFERROR(AI29/AI20,0)</x:f>
        <x:v>0.8625400469931452</x:v>
      </x:c>
      <x:c r="AJ30" s="166" t="n">
        <x:f>IFERROR(AJ29/AJ20,0)</x:f>
        <x:v>0.8625170502945843</x:v>
      </x:c>
      <x:c r="AK30" s="166" t="n">
        <x:f>IFERROR(AK29/AK20,0)</x:f>
        <x:v>0.862498146228818</x:v>
      </x:c>
      <x:c r="AL30" s="166" t="n">
        <x:f>IFERROR(AL29/AL20,0)</x:f>
        <x:v>0.8624826064459424</x:v>
      </x:c>
      <x:c r="AM30" s="167" t="n">
        <x:f>IFERROR(AM29/AM20,0)</x:f>
        <x:v>0.8624698322176464</x:v>
      </x:c>
      <x:c r="AN30" s="123"/>
    </x:row>
    <x:row r="31">
      <x:c r="A31" s="127"/>
      <x:c r="B31" s="158"/>
      <x:c r="C31" s="158"/>
      <x:c r="D31" s="158"/>
      <x:c r="E31" s="158"/>
      <x:c r="F31" s="158"/>
      <x:c r="G31" s="158"/>
      <x:c r="H31" s="158"/>
      <x:c r="I31" s="158"/>
      <x:c r="J31" s="158"/>
      <x:c r="K31" s="158"/>
      <x:c r="L31" s="158"/>
      <x:c r="M31" s="158"/>
      <x:c r="N31" s="158"/>
      <x:c r="O31" s="158"/>
      <x:c r="P31" s="158"/>
      <x:c r="Q31" s="158"/>
      <x:c r="R31" s="158"/>
      <x:c r="S31" s="158"/>
      <x:c r="T31" s="158"/>
      <x:c r="U31" s="158"/>
      <x:c r="V31" s="158"/>
      <x:c r="W31" s="158"/>
      <x:c r="X31" s="158"/>
      <x:c r="Y31" s="158"/>
      <x:c r="Z31" s="158"/>
      <x:c r="AA31" s="158"/>
      <x:c r="AB31" s="158"/>
      <x:c r="AC31" s="158"/>
      <x:c r="AD31" s="158"/>
      <x:c r="AE31" s="158"/>
      <x:c r="AF31" s="158"/>
      <x:c r="AG31" s="158"/>
      <x:c r="AH31" s="158"/>
      <x:c r="AI31" s="158"/>
      <x:c r="AJ31" s="158"/>
      <x:c r="AK31" s="158"/>
      <x:c r="AL31" s="158"/>
      <x:c r="AM31" s="165"/>
      <x:c r="AN31" s="123"/>
    </x:row>
    <x:row r="32">
      <x:c r="A32" s="159" t="str">
        <x:v>Operating Expenses</x:v>
      </x:c>
      <x:c r="B32" s="158"/>
      <x:c r="C32" s="158"/>
      <x:c r="D32" s="158"/>
      <x:c r="E32" s="158"/>
      <x:c r="F32" s="158"/>
      <x:c r="G32" s="158"/>
      <x:c r="H32" s="158"/>
      <x:c r="I32" s="158"/>
      <x:c r="J32" s="158"/>
      <x:c r="K32" s="158"/>
      <x:c r="L32" s="158"/>
      <x:c r="M32" s="158"/>
      <x:c r="N32" s="158"/>
      <x:c r="O32" s="158"/>
      <x:c r="P32" s="158"/>
      <x:c r="Q32" s="158"/>
      <x:c r="R32" s="158"/>
      <x:c r="S32" s="158"/>
      <x:c r="T32" s="158"/>
      <x:c r="U32" s="158"/>
      <x:c r="V32" s="158"/>
      <x:c r="W32" s="158"/>
      <x:c r="X32" s="158"/>
      <x:c r="Y32" s="158"/>
      <x:c r="Z32" s="158"/>
      <x:c r="AA32" s="158"/>
      <x:c r="AB32" s="158"/>
      <x:c r="AC32" s="158"/>
      <x:c r="AD32" s="158"/>
      <x:c r="AE32" s="158"/>
      <x:c r="AF32" s="158"/>
      <x:c r="AG32" s="158"/>
      <x:c r="AH32" s="158"/>
      <x:c r="AI32" s="158"/>
      <x:c r="AJ32" s="158"/>
      <x:c r="AK32" s="158"/>
      <x:c r="AL32" s="158"/>
      <x:c r="AM32" s="165"/>
      <x:c r="AN32" s="123"/>
    </x:row>
    <x:row r="33">
      <x:c r="A33" s="127" t="str">
        <x:v>Team / founder compensation</x:v>
      </x:c>
      <x:c r="B33" s="158" t="str">
        <x:v>MYR</x:v>
      </x:c>
      <x:c r="C33" s="158" t="str">
        <x:v>Starting team cost with monthly ramp</x:v>
      </x:c>
      <x:c r="D33" s="128" t="n">
        <x:f>Assumptions!$C$19</x:f>
        <x:v>3500</x:v>
      </x:c>
      <x:c r="E33" s="128" t="n">
        <x:f>D33*(1+Assumptions!$C$20)</x:f>
        <x:v>3605</x:v>
      </x:c>
      <x:c r="F33" s="128" t="n">
        <x:f>E33*(1+Assumptions!$C$20)</x:f>
        <x:v>3713.15</x:v>
      </x:c>
      <x:c r="G33" s="128" t="n">
        <x:f>F33*(1+Assumptions!$C$20)</x:f>
        <x:v>3824.5445</x:v>
      </x:c>
      <x:c r="H33" s="128" t="n">
        <x:f>G33*(1+Assumptions!$C$20)</x:f>
        <x:v>3939.280835</x:v>
      </x:c>
      <x:c r="I33" s="128" t="n">
        <x:f>H33*(1+Assumptions!$C$20)</x:f>
        <x:v>4057.45926005</x:v>
      </x:c>
      <x:c r="J33" s="128" t="n">
        <x:f>I33*(1+Assumptions!$C$20)</x:f>
        <x:v>4179.183037851501</x:v>
      </x:c>
      <x:c r="K33" s="128" t="n">
        <x:f>J33*(1+Assumptions!$C$20)</x:f>
        <x:v>4304.558528987046</x:v>
      </x:c>
      <x:c r="L33" s="128" t="n">
        <x:f>K33*(1+Assumptions!$C$20)</x:f>
        <x:v>4433.695284856657</x:v>
      </x:c>
      <x:c r="M33" s="128" t="n">
        <x:f>L33*(1+Assumptions!$C$20)</x:f>
        <x:v>4566.706143402357</x:v>
      </x:c>
      <x:c r="N33" s="128" t="n">
        <x:f>M33*(1+Assumptions!$C$20)</x:f>
        <x:v>4703.707327704428</x:v>
      </x:c>
      <x:c r="O33" s="128" t="n">
        <x:f>N33*(1+Assumptions!$C$20)</x:f>
        <x:v>4844.818547535561</x:v>
      </x:c>
      <x:c r="P33" s="128" t="n">
        <x:f>O33*(1+Assumptions!$C$20)</x:f>
        <x:v>4990.163103961629</x:v>
      </x:c>
      <x:c r="Q33" s="128" t="n">
        <x:f>P33*(1+Assumptions!$C$20)</x:f>
        <x:v>5139.867997080478</x:v>
      </x:c>
      <x:c r="R33" s="128" t="n">
        <x:f>Q33*(1+Assumptions!$C$20)</x:f>
        <x:v>5294.064036992892</x:v>
      </x:c>
      <x:c r="S33" s="128" t="n">
        <x:f>R33*(1+Assumptions!$C$20)</x:f>
        <x:v>5452.885958102679</x:v>
      </x:c>
      <x:c r="T33" s="128" t="n">
        <x:f>S33*(1+Assumptions!$C$20)</x:f>
        <x:v>5616.472536845759</x:v>
      </x:c>
      <x:c r="U33" s="128" t="n">
        <x:f>T33*(1+Assumptions!$C$20)</x:f>
        <x:v>5784.966712951133</x:v>
      </x:c>
      <x:c r="V33" s="128" t="n">
        <x:f>U33*(1+Assumptions!$C$20)</x:f>
        <x:v>5958.515714339666</x:v>
      </x:c>
      <x:c r="W33" s="128" t="n">
        <x:f>V33*(1+Assumptions!$C$20)</x:f>
        <x:v>6137.271185769857</x:v>
      </x:c>
      <x:c r="X33" s="128" t="n">
        <x:f>W33*(1+Assumptions!$C$20)</x:f>
        <x:v>6321.389321342953</x:v>
      </x:c>
      <x:c r="Y33" s="128" t="n">
        <x:f>X33*(1+Assumptions!$C$20)</x:f>
        <x:v>6511.031000983242</x:v>
      </x:c>
      <x:c r="Z33" s="128" t="n">
        <x:f>Y33*(1+Assumptions!$C$20)</x:f>
        <x:v>6706.36193101274</x:v>
      </x:c>
      <x:c r="AA33" s="128" t="n">
        <x:f>Z33*(1+Assumptions!$C$20)</x:f>
        <x:v>6907.552788943122</x:v>
      </x:c>
      <x:c r="AB33" s="128" t="n">
        <x:f>AA33*(1+Assumptions!$C$20)</x:f>
        <x:v>7114.779372611416</x:v>
      </x:c>
      <x:c r="AC33" s="128" t="n">
        <x:f>AB33*(1+Assumptions!$C$20)</x:f>
        <x:v>7328.222753789759</x:v>
      </x:c>
      <x:c r="AD33" s="128" t="n">
        <x:f>AC33*(1+Assumptions!$C$20)</x:f>
        <x:v>7548.069436403452</x:v>
      </x:c>
      <x:c r="AE33" s="128" t="n">
        <x:f>AD33*(1+Assumptions!$C$20)</x:f>
        <x:v>7774.511519495555</x:v>
      </x:c>
      <x:c r="AF33" s="128" t="n">
        <x:f>AE33*(1+Assumptions!$C$20)</x:f>
        <x:v>8007.746865080422</x:v>
      </x:c>
      <x:c r="AG33" s="128" t="n">
        <x:f>AF33*(1+Assumptions!$C$20)</x:f>
        <x:v>8247.979271032835</x:v>
      </x:c>
      <x:c r="AH33" s="128" t="n">
        <x:f>AG33*(1+Assumptions!$C$20)</x:f>
        <x:v>8495.41864916382</x:v>
      </x:c>
      <x:c r="AI33" s="128" t="n">
        <x:f>AH33*(1+Assumptions!$C$20)</x:f>
        <x:v>8750.281208638735</x:v>
      </x:c>
      <x:c r="AJ33" s="128" t="n">
        <x:f>AI33*(1+Assumptions!$C$20)</x:f>
        <x:v>9012.789644897897</x:v>
      </x:c>
      <x:c r="AK33" s="128" t="n">
        <x:f>AJ33*(1+Assumptions!$C$20)</x:f>
        <x:v>9283.173334244835</x:v>
      </x:c>
      <x:c r="AL33" s="128" t="n">
        <x:f>AK33*(1+Assumptions!$C$20)</x:f>
        <x:v>9561.668534272181</x:v>
      </x:c>
      <x:c r="AM33" s="129" t="n">
        <x:f>AL33*(1+Assumptions!$C$20)</x:f>
        <x:v>9848.518590300348</x:v>
      </x:c>
      <x:c r="AN33" s="123"/>
    </x:row>
    <x:row r="34">
      <x:c r="A34" s="127" t="str">
        <x:v>Marketing variable CAC</x:v>
      </x:c>
      <x:c r="B34" s="158" t="str">
        <x:v>MYR</x:v>
      </x:c>
      <x:c r="C34" s="158" t="str">
        <x:v>New paid users * CAC</x:v>
      </x:c>
      <x:c r="D34" s="128" t="n">
        <x:f>D7*Assumptions!$C$14</x:f>
        <x:v>540</x:v>
      </x:c>
      <x:c r="E34" s="128" t="n">
        <x:f>E7*Assumptions!$C$14</x:f>
        <x:v>637.1999999999999</x:v>
      </x:c>
      <x:c r="F34" s="128" t="n">
        <x:f>F7*Assumptions!$C$14</x:f>
        <x:v>751.896</x:v>
      </x:c>
      <x:c r="G34" s="128" t="n">
        <x:f>G7*Assumptions!$C$14</x:f>
        <x:v>887.2372799999999</x:v>
      </x:c>
      <x:c r="H34" s="128" t="n">
        <x:f>H7*Assumptions!$C$14</x:f>
        <x:v>1046.9399904</x:v>
      </x:c>
      <x:c r="I34" s="128" t="n">
        <x:f>I7*Assumptions!$C$14</x:f>
        <x:v>1235.3891886719998</x:v>
      </x:c>
      <x:c r="J34" s="128" t="n">
        <x:f>J7*Assumptions!$C$14</x:f>
        <x:v>1457.7592426329597</x:v>
      </x:c>
      <x:c r="K34" s="128" t="n">
        <x:f>K7*Assumptions!$C$14</x:f>
        <x:v>1720.1559063068923</x:v>
      </x:c>
      <x:c r="L34" s="128" t="n">
        <x:f>L7*Assumptions!$C$14</x:f>
        <x:v>2029.7839694421327</x:v>
      </x:c>
      <x:c r="M34" s="128" t="n">
        <x:f>M7*Assumptions!$C$14</x:f>
        <x:v>2395.1450839417166</x:v>
      </x:c>
      <x:c r="N34" s="128" t="n">
        <x:f>N7*Assumptions!$C$14</x:f>
        <x:v>2826.2711990512257</x:v>
      </x:c>
      <x:c r="O34" s="128" t="n">
        <x:f>O7*Assumptions!$C$14</x:f>
        <x:v>3335.000014880446</x:v>
      </x:c>
      <x:c r="P34" s="128" t="n">
        <x:f>P7*Assumptions!$C$14</x:f>
        <x:v>3935.300017558926</x:v>
      </x:c>
      <x:c r="Q34" s="128" t="n">
        <x:f>Q7*Assumptions!$C$14</x:f>
        <x:v>4643.654020719533</x:v>
      </x:c>
      <x:c r="R34" s="128" t="n">
        <x:f>R7*Assumptions!$C$14</x:f>
        <x:v>5479.511744449049</x:v>
      </x:c>
      <x:c r="S34" s="128" t="n">
        <x:f>S7*Assumptions!$C$14</x:f>
        <x:v>6465.823858449878</x:v>
      </x:c>
      <x:c r="T34" s="128" t="n">
        <x:f>T7*Assumptions!$C$14</x:f>
        <x:v>7629.672152970855</x:v>
      </x:c>
      <x:c r="U34" s="128" t="n">
        <x:f>U7*Assumptions!$C$14</x:f>
        <x:v>9003.013140505609</x:v>
      </x:c>
      <x:c r="V34" s="128" t="n">
        <x:f>V7*Assumptions!$C$14</x:f>
        <x:v>10623.555505796618</x:v>
      </x:c>
      <x:c r="W34" s="128" t="n">
        <x:f>W7*Assumptions!$C$14</x:f>
        <x:v>12535.795496840008</x:v>
      </x:c>
      <x:c r="X34" s="128" t="n">
        <x:f>X7*Assumptions!$C$14</x:f>
        <x:v>14792.238686271208</x:v>
      </x:c>
      <x:c r="Y34" s="128" t="n">
        <x:f>Y7*Assumptions!$C$14</x:f>
        <x:v>17454.841649800026</x:v>
      </x:c>
      <x:c r="Z34" s="128" t="n">
        <x:f>Z7*Assumptions!$C$14</x:f>
        <x:v>20596.71314676403</x:v>
      </x:c>
      <x:c r="AA34" s="128" t="n">
        <x:f>AA7*Assumptions!$C$14</x:f>
        <x:v>24304.12151318155</x:v>
      </x:c>
      <x:c r="AB34" s="128" t="n">
        <x:f>AB7*Assumptions!$C$14</x:f>
        <x:v>28678.863385554232</x:v>
      </x:c>
      <x:c r="AC34" s="128" t="n">
        <x:f>AC7*Assumptions!$C$14</x:f>
        <x:v>33841.05879495399</x:v>
      </x:c>
      <x:c r="AD34" s="128" t="n">
        <x:f>AD7*Assumptions!$C$14</x:f>
        <x:v>39932.44937804571</x:v>
      </x:c>
      <x:c r="AE34" s="128" t="n">
        <x:f>AE7*Assumptions!$C$14</x:f>
        <x:v>47120.290266093936</x:v>
      </x:c>
      <x:c r="AF34" s="128" t="n">
        <x:f>AF7*Assumptions!$C$14</x:f>
        <x:v>55601.94251399084</x:v>
      </x:c>
      <x:c r="AG34" s="128" t="n">
        <x:f>AG7*Assumptions!$C$14</x:f>
        <x:v>65610.2921665092</x:v>
      </x:c>
      <x:c r="AH34" s="128" t="n">
        <x:f>AH7*Assumptions!$C$14</x:f>
        <x:v>77420.14475648085</x:v>
      </x:c>
      <x:c r="AI34" s="128" t="n">
        <x:f>AI7*Assumptions!$C$14</x:f>
        <x:v>91355.77081264739</x:v>
      </x:c>
      <x:c r="AJ34" s="128" t="n">
        <x:f>AJ7*Assumptions!$C$14</x:f>
        <x:v>107799.80955892392</x:v>
      </x:c>
      <x:c r="AK34" s="128" t="n">
        <x:f>AK7*Assumptions!$C$14</x:f>
        <x:v>127203.77527953022</x:v>
      </x:c>
      <x:c r="AL34" s="128" t="n">
        <x:f>AL7*Assumptions!$C$14</x:f>
        <x:v>150100.45482984564</x:v>
      </x:c>
      <x:c r="AM34" s="129" t="n">
        <x:f>AM7*Assumptions!$C$14</x:f>
        <x:v>177118.53669921783</x:v>
      </x:c>
      <x:c r="AN34" s="123"/>
    </x:row>
    <x:row r="35">
      <x:c r="A35" s="127" t="str">
        <x:v>Marketing base</x:v>
      </x:c>
      <x:c r="B35" s="158" t="str">
        <x:v>MYR</x:v>
      </x:c>
      <x:c r="C35" s="158" t="str">
        <x:v>Fixed monthly marketing budget</x:v>
      </x:c>
      <x:c r="D35" s="128" t="n">
        <x:f>Assumptions!$C$22</x:f>
        <x:v>600</x:v>
      </x:c>
      <x:c r="E35" s="128" t="n">
        <x:f>Assumptions!$C$22</x:f>
        <x:v>600</x:v>
      </x:c>
      <x:c r="F35" s="128" t="n">
        <x:f>Assumptions!$C$22</x:f>
        <x:v>600</x:v>
      </x:c>
      <x:c r="G35" s="128" t="n">
        <x:f>Assumptions!$C$22</x:f>
        <x:v>600</x:v>
      </x:c>
      <x:c r="H35" s="128" t="n">
        <x:f>Assumptions!$C$22</x:f>
        <x:v>600</x:v>
      </x:c>
      <x:c r="I35" s="128" t="n">
        <x:f>Assumptions!$C$22</x:f>
        <x:v>600</x:v>
      </x:c>
      <x:c r="J35" s="128" t="n">
        <x:f>Assumptions!$C$22</x:f>
        <x:v>600</x:v>
      </x:c>
      <x:c r="K35" s="128" t="n">
        <x:f>Assumptions!$C$22</x:f>
        <x:v>600</x:v>
      </x:c>
      <x:c r="L35" s="128" t="n">
        <x:f>Assumptions!$C$22</x:f>
        <x:v>600</x:v>
      </x:c>
      <x:c r="M35" s="128" t="n">
        <x:f>Assumptions!$C$22</x:f>
        <x:v>600</x:v>
      </x:c>
      <x:c r="N35" s="128" t="n">
        <x:f>Assumptions!$C$22</x:f>
        <x:v>600</x:v>
      </x:c>
      <x:c r="O35" s="128" t="n">
        <x:f>Assumptions!$C$22</x:f>
        <x:v>600</x:v>
      </x:c>
      <x:c r="P35" s="128" t="n">
        <x:f>Assumptions!$C$22</x:f>
        <x:v>600</x:v>
      </x:c>
      <x:c r="Q35" s="128" t="n">
        <x:f>Assumptions!$C$22</x:f>
        <x:v>600</x:v>
      </x:c>
      <x:c r="R35" s="128" t="n">
        <x:f>Assumptions!$C$22</x:f>
        <x:v>600</x:v>
      </x:c>
      <x:c r="S35" s="128" t="n">
        <x:f>Assumptions!$C$22</x:f>
        <x:v>600</x:v>
      </x:c>
      <x:c r="T35" s="128" t="n">
        <x:f>Assumptions!$C$22</x:f>
        <x:v>600</x:v>
      </x:c>
      <x:c r="U35" s="128" t="n">
        <x:f>Assumptions!$C$22</x:f>
        <x:v>600</x:v>
      </x:c>
      <x:c r="V35" s="128" t="n">
        <x:f>Assumptions!$C$22</x:f>
        <x:v>600</x:v>
      </x:c>
      <x:c r="W35" s="128" t="n">
        <x:f>Assumptions!$C$22</x:f>
        <x:v>600</x:v>
      </x:c>
      <x:c r="X35" s="128" t="n">
        <x:f>Assumptions!$C$22</x:f>
        <x:v>600</x:v>
      </x:c>
      <x:c r="Y35" s="128" t="n">
        <x:f>Assumptions!$C$22</x:f>
        <x:v>600</x:v>
      </x:c>
      <x:c r="Z35" s="128" t="n">
        <x:f>Assumptions!$C$22</x:f>
        <x:v>600</x:v>
      </x:c>
      <x:c r="AA35" s="128" t="n">
        <x:f>Assumptions!$C$22</x:f>
        <x:v>600</x:v>
      </x:c>
      <x:c r="AB35" s="128" t="n">
        <x:f>Assumptions!$C$22</x:f>
        <x:v>600</x:v>
      </x:c>
      <x:c r="AC35" s="128" t="n">
        <x:f>Assumptions!$C$22</x:f>
        <x:v>600</x:v>
      </x:c>
      <x:c r="AD35" s="128" t="n">
        <x:f>Assumptions!$C$22</x:f>
        <x:v>600</x:v>
      </x:c>
      <x:c r="AE35" s="128" t="n">
        <x:f>Assumptions!$C$22</x:f>
        <x:v>600</x:v>
      </x:c>
      <x:c r="AF35" s="128" t="n">
        <x:f>Assumptions!$C$22</x:f>
        <x:v>600</x:v>
      </x:c>
      <x:c r="AG35" s="128" t="n">
        <x:f>Assumptions!$C$22</x:f>
        <x:v>600</x:v>
      </x:c>
      <x:c r="AH35" s="128" t="n">
        <x:f>Assumptions!$C$22</x:f>
        <x:v>600</x:v>
      </x:c>
      <x:c r="AI35" s="128" t="n">
        <x:f>Assumptions!$C$22</x:f>
        <x:v>600</x:v>
      </x:c>
      <x:c r="AJ35" s="128" t="n">
        <x:f>Assumptions!$C$22</x:f>
        <x:v>600</x:v>
      </x:c>
      <x:c r="AK35" s="128" t="n">
        <x:f>Assumptions!$C$22</x:f>
        <x:v>600</x:v>
      </x:c>
      <x:c r="AL35" s="128" t="n">
        <x:f>Assumptions!$C$22</x:f>
        <x:v>600</x:v>
      </x:c>
      <x:c r="AM35" s="129" t="n">
        <x:f>Assumptions!$C$22</x:f>
        <x:v>600</x:v>
      </x:c>
      <x:c r="AN35" s="123"/>
    </x:row>
    <x:row r="36">
      <x:c r="A36" s="127" t="str">
        <x:v>Tools, admin, legal</x:v>
      </x:c>
      <x:c r="B36" s="158" t="str">
        <x:v>MYR</x:v>
      </x:c>
      <x:c r="C36" s="158" t="str">
        <x:v>Base tools/admin/legal</x:v>
      </x:c>
      <x:c r="D36" s="128" t="n">
        <x:f>Assumptions!$C$21</x:f>
        <x:v>700</x:v>
      </x:c>
      <x:c r="E36" s="128" t="n">
        <x:f>Assumptions!$C$21</x:f>
        <x:v>700</x:v>
      </x:c>
      <x:c r="F36" s="128" t="n">
        <x:f>Assumptions!$C$21</x:f>
        <x:v>700</x:v>
      </x:c>
      <x:c r="G36" s="128" t="n">
        <x:f>Assumptions!$C$21</x:f>
        <x:v>700</x:v>
      </x:c>
      <x:c r="H36" s="128" t="n">
        <x:f>Assumptions!$C$21</x:f>
        <x:v>700</x:v>
      </x:c>
      <x:c r="I36" s="128" t="n">
        <x:f>Assumptions!$C$21</x:f>
        <x:v>700</x:v>
      </x:c>
      <x:c r="J36" s="128" t="n">
        <x:f>Assumptions!$C$21</x:f>
        <x:v>700</x:v>
      </x:c>
      <x:c r="K36" s="128" t="n">
        <x:f>Assumptions!$C$21</x:f>
        <x:v>700</x:v>
      </x:c>
      <x:c r="L36" s="128" t="n">
        <x:f>Assumptions!$C$21</x:f>
        <x:v>700</x:v>
      </x:c>
      <x:c r="M36" s="128" t="n">
        <x:f>Assumptions!$C$21</x:f>
        <x:v>700</x:v>
      </x:c>
      <x:c r="N36" s="128" t="n">
        <x:f>Assumptions!$C$21</x:f>
        <x:v>700</x:v>
      </x:c>
      <x:c r="O36" s="128" t="n">
        <x:f>Assumptions!$C$21</x:f>
        <x:v>700</x:v>
      </x:c>
      <x:c r="P36" s="128" t="n">
        <x:f>Assumptions!$C$21</x:f>
        <x:v>700</x:v>
      </x:c>
      <x:c r="Q36" s="128" t="n">
        <x:f>Assumptions!$C$21</x:f>
        <x:v>700</x:v>
      </x:c>
      <x:c r="R36" s="128" t="n">
        <x:f>Assumptions!$C$21</x:f>
        <x:v>700</x:v>
      </x:c>
      <x:c r="S36" s="128" t="n">
        <x:f>Assumptions!$C$21</x:f>
        <x:v>700</x:v>
      </x:c>
      <x:c r="T36" s="128" t="n">
        <x:f>Assumptions!$C$21</x:f>
        <x:v>700</x:v>
      </x:c>
      <x:c r="U36" s="128" t="n">
        <x:f>Assumptions!$C$21</x:f>
        <x:v>700</x:v>
      </x:c>
      <x:c r="V36" s="128" t="n">
        <x:f>Assumptions!$C$21</x:f>
        <x:v>700</x:v>
      </x:c>
      <x:c r="W36" s="128" t="n">
        <x:f>Assumptions!$C$21</x:f>
        <x:v>700</x:v>
      </x:c>
      <x:c r="X36" s="128" t="n">
        <x:f>Assumptions!$C$21</x:f>
        <x:v>700</x:v>
      </x:c>
      <x:c r="Y36" s="128" t="n">
        <x:f>Assumptions!$C$21</x:f>
        <x:v>700</x:v>
      </x:c>
      <x:c r="Z36" s="128" t="n">
        <x:f>Assumptions!$C$21</x:f>
        <x:v>700</x:v>
      </x:c>
      <x:c r="AA36" s="128" t="n">
        <x:f>Assumptions!$C$21</x:f>
        <x:v>700</x:v>
      </x:c>
      <x:c r="AB36" s="128" t="n">
        <x:f>Assumptions!$C$21</x:f>
        <x:v>700</x:v>
      </x:c>
      <x:c r="AC36" s="128" t="n">
        <x:f>Assumptions!$C$21</x:f>
        <x:v>700</x:v>
      </x:c>
      <x:c r="AD36" s="128" t="n">
        <x:f>Assumptions!$C$21</x:f>
        <x:v>700</x:v>
      </x:c>
      <x:c r="AE36" s="128" t="n">
        <x:f>Assumptions!$C$21</x:f>
        <x:v>700</x:v>
      </x:c>
      <x:c r="AF36" s="128" t="n">
        <x:f>Assumptions!$C$21</x:f>
        <x:v>700</x:v>
      </x:c>
      <x:c r="AG36" s="128" t="n">
        <x:f>Assumptions!$C$21</x:f>
        <x:v>700</x:v>
      </x:c>
      <x:c r="AH36" s="128" t="n">
        <x:f>Assumptions!$C$21</x:f>
        <x:v>700</x:v>
      </x:c>
      <x:c r="AI36" s="128" t="n">
        <x:f>Assumptions!$C$21</x:f>
        <x:v>700</x:v>
      </x:c>
      <x:c r="AJ36" s="128" t="n">
        <x:f>Assumptions!$C$21</x:f>
        <x:v>700</x:v>
      </x:c>
      <x:c r="AK36" s="128" t="n">
        <x:f>Assumptions!$C$21</x:f>
        <x:v>700</x:v>
      </x:c>
      <x:c r="AL36" s="128" t="n">
        <x:f>Assumptions!$C$21</x:f>
        <x:v>700</x:v>
      </x:c>
      <x:c r="AM36" s="129" t="n">
        <x:f>Assumptions!$C$21</x:f>
        <x:v>700</x:v>
      </x:c>
      <x:c r="AN36" s="123"/>
    </x:row>
    <x:row r="37">
      <x:c r="A37" s="127" t="str">
        <x:v>Total Opex</x:v>
      </x:c>
      <x:c r="B37" s="158" t="str">
        <x:v>MYR</x:v>
      </x:c>
      <x:c r="C37" s="158" t="str">
        <x:v>Sum of operating expenses</x:v>
      </x:c>
      <x:c r="D37" s="128" t="n">
        <x:f>SUM(D33:D36)</x:f>
        <x:v>5340</x:v>
      </x:c>
      <x:c r="E37" s="128" t="n">
        <x:f>SUM(E33:E36)</x:f>
        <x:v>5542.2</x:v>
      </x:c>
      <x:c r="F37" s="128" t="n">
        <x:f>SUM(F33:F36)</x:f>
        <x:v>5765.046</x:v>
      </x:c>
      <x:c r="G37" s="128" t="n">
        <x:f>SUM(G33:G36)</x:f>
        <x:v>6011.78178</x:v>
      </x:c>
      <x:c r="H37" s="128" t="n">
        <x:f>SUM(H33:H36)</x:f>
        <x:v>6286.2208254</x:v>
      </x:c>
      <x:c r="I37" s="128" t="n">
        <x:f>SUM(I33:I36)</x:f>
        <x:v>6592.848448721999</x:v>
      </x:c>
      <x:c r="J37" s="128" t="n">
        <x:f>SUM(J33:J36)</x:f>
        <x:v>6936.94228048446</x:v>
      </x:c>
      <x:c r="K37" s="128" t="n">
        <x:f>SUM(K33:K36)</x:f>
        <x:v>7324.714435293939</x:v>
      </x:c>
      <x:c r="L37" s="128" t="n">
        <x:f>SUM(L33:L36)</x:f>
        <x:v>7763.47925429879</x:v>
      </x:c>
      <x:c r="M37" s="128" t="n">
        <x:f>SUM(M33:M36)</x:f>
        <x:v>8261.851227344074</x:v>
      </x:c>
      <x:c r="N37" s="128" t="n">
        <x:f>SUM(N33:N36)</x:f>
        <x:v>8829.978526755654</x:v>
      </x:c>
      <x:c r="O37" s="128" t="n">
        <x:f>SUM(O33:O36)</x:f>
        <x:v>9479.818562416007</x:v>
      </x:c>
      <x:c r="P37" s="128" t="n">
        <x:f>SUM(P33:P36)</x:f>
        <x:v>10225.463121520555</x:v>
      </x:c>
      <x:c r="Q37" s="128" t="n">
        <x:f>SUM(Q33:Q36)</x:f>
        <x:v>11083.52201780001</x:v>
      </x:c>
      <x:c r="R37" s="128" t="n">
        <x:f>SUM(R33:R36)</x:f>
        <x:v>12073.575781441941</x:v>
      </x:c>
      <x:c r="S37" s="128" t="n">
        <x:f>SUM(S33:S36)</x:f>
        <x:v>13218.709816552557</x:v>
      </x:c>
      <x:c r="T37" s="128" t="n">
        <x:f>SUM(T33:T36)</x:f>
        <x:v>14546.144689816614</x:v>
      </x:c>
      <x:c r="U37" s="128" t="n">
        <x:f>SUM(U33:U36)</x:f>
        <x:v>16087.979853456742</x:v>
      </x:c>
      <x:c r="V37" s="128" t="n">
        <x:f>SUM(V33:V36)</x:f>
        <x:v>17882.071220136284</x:v>
      </x:c>
      <x:c r="W37" s="128" t="n">
        <x:f>SUM(W33:W36)</x:f>
        <x:v>19973.066682609864</x:v>
      </x:c>
      <x:c r="X37" s="128" t="n">
        <x:f>SUM(X33:X36)</x:f>
        <x:v>22413.628007614163</x:v>
      </x:c>
      <x:c r="Y37" s="128" t="n">
        <x:f>SUM(Y33:Y36)</x:f>
        <x:v>25265.87265078327</x:v>
      </x:c>
      <x:c r="Z37" s="128" t="n">
        <x:f>SUM(Z33:Z36)</x:f>
        <x:v>28603.075077776768</x:v>
      </x:c>
      <x:c r="AA37" s="128" t="n">
        <x:f>SUM(AA33:AA36)</x:f>
        <x:v>32511.674302124673</x:v>
      </x:c>
      <x:c r="AB37" s="128" t="n">
        <x:f>SUM(AB33:AB36)</x:f>
        <x:v>37093.642758165646</x:v>
      </x:c>
      <x:c r="AC37" s="128" t="n">
        <x:f>SUM(AC33:AC36)</x:f>
        <x:v>42469.28154874375</x:v>
      </x:c>
      <x:c r="AD37" s="128" t="n">
        <x:f>SUM(AD33:AD36)</x:f>
        <x:v>48780.51881444916</x:v>
      </x:c>
      <x:c r="AE37" s="128" t="n">
        <x:f>SUM(AE33:AE36)</x:f>
        <x:v>56194.801785589494</x:v>
      </x:c>
      <x:c r="AF37" s="128" t="n">
        <x:f>SUM(AF33:AF36)</x:f>
        <x:v>64909.689379071264</x:v>
      </x:c>
      <x:c r="AG37" s="128" t="n">
        <x:f>SUM(AG33:AG36)</x:f>
        <x:v>75158.27143754203</x:v>
      </x:c>
      <x:c r="AH37" s="128" t="n">
        <x:f>SUM(AH33:AH36)</x:f>
        <x:v>87215.56340564467</x:v>
      </x:c>
      <x:c r="AI37" s="128" t="n">
        <x:f>SUM(AI33:AI36)</x:f>
        <x:v>101406.05202128613</x:v>
      </x:c>
      <x:c r="AJ37" s="128" t="n">
        <x:f>SUM(AJ33:AJ36)</x:f>
        <x:v>118112.59920382182</x:v>
      </x:c>
      <x:c r="AK37" s="128" t="n">
        <x:f>SUM(AK33:AK36)</x:f>
        <x:v>137786.94861377505</x:v>
      </x:c>
      <x:c r="AL37" s="128" t="n">
        <x:f>SUM(AL33:AL36)</x:f>
        <x:v>160962.1233641178</x:v>
      </x:c>
      <x:c r="AM37" s="129" t="n">
        <x:f>SUM(AM33:AM36)</x:f>
        <x:v>188267.05528951818</x:v>
      </x:c>
      <x:c r="AN37" s="123"/>
    </x:row>
    <x:row r="38">
      <x:c r="A38" s="127"/>
      <x:c r="B38" s="158"/>
      <x:c r="C38" s="158"/>
      <x:c r="D38" s="128"/>
      <x:c r="E38" s="128"/>
      <x:c r="F38" s="128"/>
      <x:c r="G38" s="128"/>
      <x:c r="H38" s="128"/>
      <x:c r="I38" s="128"/>
      <x:c r="J38" s="128"/>
      <x:c r="K38" s="128"/>
      <x:c r="L38" s="128"/>
      <x:c r="M38" s="128"/>
      <x:c r="N38" s="128"/>
      <x:c r="O38" s="128"/>
      <x:c r="P38" s="128"/>
      <x:c r="Q38" s="128"/>
      <x:c r="R38" s="128"/>
      <x:c r="S38" s="128"/>
      <x:c r="T38" s="128"/>
      <x:c r="U38" s="128"/>
      <x:c r="V38" s="128"/>
      <x:c r="W38" s="128"/>
      <x:c r="X38" s="128"/>
      <x:c r="Y38" s="128"/>
      <x:c r="Z38" s="128"/>
      <x:c r="AA38" s="128"/>
      <x:c r="AB38" s="128"/>
      <x:c r="AC38" s="128"/>
      <x:c r="AD38" s="128"/>
      <x:c r="AE38" s="128"/>
      <x:c r="AF38" s="128"/>
      <x:c r="AG38" s="128"/>
      <x:c r="AH38" s="128"/>
      <x:c r="AI38" s="128"/>
      <x:c r="AJ38" s="128"/>
      <x:c r="AK38" s="128"/>
      <x:c r="AL38" s="128"/>
      <x:c r="AM38" s="129"/>
      <x:c r="AN38" s="123"/>
    </x:row>
    <x:row r="39">
      <x:c r="A39" s="159" t="str">
        <x:v>Profitability &amp; Cash</x:v>
      </x:c>
      <x:c r="B39" s="158"/>
      <x:c r="C39" s="158"/>
      <x:c r="D39" s="128"/>
      <x:c r="E39" s="128"/>
      <x:c r="F39" s="128"/>
      <x:c r="G39" s="128"/>
      <x:c r="H39" s="128"/>
      <x:c r="I39" s="128"/>
      <x:c r="J39" s="128"/>
      <x:c r="K39" s="128"/>
      <x:c r="L39" s="128"/>
      <x:c r="M39" s="128"/>
      <x:c r="N39" s="128"/>
      <x:c r="O39" s="128"/>
      <x:c r="P39" s="128"/>
      <x:c r="Q39" s="128"/>
      <x:c r="R39" s="128"/>
      <x:c r="S39" s="128"/>
      <x:c r="T39" s="128"/>
      <x:c r="U39" s="128"/>
      <x:c r="V39" s="128"/>
      <x:c r="W39" s="128"/>
      <x:c r="X39" s="128"/>
      <x:c r="Y39" s="128"/>
      <x:c r="Z39" s="128"/>
      <x:c r="AA39" s="128"/>
      <x:c r="AB39" s="128"/>
      <x:c r="AC39" s="128"/>
      <x:c r="AD39" s="128"/>
      <x:c r="AE39" s="128"/>
      <x:c r="AF39" s="128"/>
      <x:c r="AG39" s="128"/>
      <x:c r="AH39" s="128"/>
      <x:c r="AI39" s="128"/>
      <x:c r="AJ39" s="128"/>
      <x:c r="AK39" s="128"/>
      <x:c r="AL39" s="128"/>
      <x:c r="AM39" s="129"/>
      <x:c r="AN39" s="123"/>
    </x:row>
    <x:row r="40">
      <x:c r="A40" s="127" t="str">
        <x:v>EBITDA</x:v>
      </x:c>
      <x:c r="B40" s="158" t="str">
        <x:v>MYR</x:v>
      </x:c>
      <x:c r="C40" s="158" t="str">
        <x:v>Gross profit - Opex</x:v>
      </x:c>
      <x:c r="D40" s="128" t="n">
        <x:f>D29-D37</x:f>
        <x:v>-3528.0375</x:v>
      </x:c>
      <x:c r="E40" s="128" t="n">
        <x:f>E29-E37</x:f>
        <x:v>-3427.3642499999996</x:v>
      </x:c>
      <x:c r="F40" s="128" t="n">
        <x:f>F29-F37</x:f>
        <x:v>-3292.1214150000005</x:v>
      </x:c>
      <x:c r="G40" s="128" t="n">
        <x:f>G29-G37</x:f>
        <x:v>-3115.6349217</x:v>
      </x:c>
      <x:c r="H40" s="128" t="n">
        <x:f>H29-H37</x:f>
        <x:v>-2890.014560046001</x:v>
      </x:c>
      <x:c r="I40" s="128" t="n">
        <x:f>I29-I37</x:f>
        <x:v>-2605.9346722210794</x:v>
      </x:c>
      <x:c r="J40" s="128" t="n">
        <x:f>J29-J37</x:f>
        <x:v>-2252.375352331672</x:v>
      </x:c>
      <x:c r="K40" s="128" t="n">
        <x:f>K29-K37</x:f>
        <x:v>-1816.3170483483964</x:v>
      </x:c>
      <x:c r="L40" s="128" t="n">
        <x:f>L29-L37</x:f>
        <x:v>-1282.3801783295548</x:v>
      </x:c>
      <x:c r="M40" s="128" t="n">
        <x:f>M29-M37</x:f>
        <x:v>-632.3998631080849</x:v>
      </x:c>
      <x:c r="N40" s="128" t="n">
        <x:f>N29-N37</x:f>
        <x:v>155.07590399733454</x:v>
      </x:c>
      <x:c r="O40" s="128" t="n">
        <x:f>O29-O37</x:f>
        <x:v>1105.378432198404</x:v>
      </x:c>
      <x:c r="P40" s="128" t="n">
        <x:f>P29-P37</x:f>
        <x:v>2248.417115460559</x:v>
      </x:c>
      <x:c r="Q40" s="128" t="n">
        <x:f>Q29-Q37</x:f>
        <x:v>3619.504011673731</x:v>
      </x:c>
      <x:c r="R40" s="128" t="n">
        <x:f>R29-R37</x:f>
        <x:v>5260.326862678019</x:v>
      </x:c>
      <x:c r="S40" s="128" t="n">
        <x:f>S29-S37</x:f>
        <x:v>7220.09727496971</x:v>
      </x:c>
      <x:c r="T40" s="128" t="n">
        <x:f>T29-T37</x:f>
        <x:v>9556.905590496557</x:v>
      </x:c>
      <x:c r="U40" s="128" t="n">
        <x:f>U29-U37</x:f>
        <x:v>12339.31965226019</x:v>
      </x:c>
      <x:c r="V40" s="128" t="n">
        <x:f>V29-V37</x:f>
        <x:v>15648.271366308654</x:v>
      </x:c>
      <x:c r="W40" s="128" t="n">
        <x:f>W29-W37</x:f>
        <x:v>19579.282864003162</x:v>
      </x:c>
      <x:c r="X40" s="128" t="n">
        <x:f>X29-X37</x:f>
        <x:v>24245.09339315896</x:v>
      </x:c>
      <x:c r="Y40" s="128" t="n">
        <x:f>Y29-Y37</x:f>
        <x:v>29778.75906982569</x:v>
      </x:c>
      <x:c r="Z40" s="128" t="n">
        <x:f>Z29-Z37</x:f>
        <x:v>36337.31060620756</x:v>
      </x:c>
      <x:c r="AA40" s="128" t="n">
        <x:f>AA29-AA37</x:f>
        <x:v>44106.06945103262</x:v>
      </x:c>
      <x:c r="AB40" s="128" t="n">
        <x:f>AB29-AB37</x:f>
        <x:v>53303.740857234094</x:v>
      </x:c>
      <x:c r="AC40" s="128" t="n">
        <x:f>AC29-AC37</x:f>
        <x:v>64188.42372450183</x:v>
      </x:c>
      <x:c r="AD40" s="128" t="n">
        <x:f>AD29-AD37</x:f>
        <x:v>77064.70223684228</x:v>
      </x:c>
      <x:c r="AE40" s="128" t="n">
        <x:f>AE29-AE37</x:f>
        <x:v>92292.01401893026</x:v>
      </x:c>
      <x:c r="AF40" s="128" t="n">
        <x:f>AF29-AF37</x:f>
        <x:v>110294.52458533796</x:v>
      </x:c>
      <x:c r="AG40" s="128" t="n">
        <x:f>AG29-AG37</x:f>
        <x:v>131572.7792160845</x:v>
      </x:c>
      <x:c r="AH40" s="128" t="n">
        <x:f>AH29-AH37</x:f>
        <x:v>156717.4521959896</x:v>
      </x:c>
      <x:c r="AI40" s="128" t="n">
        <x:f>AI29-AI37</x:f>
        <x:v>186425.57094408668</x:v>
      </x:c>
      <x:c r="AJ40" s="128" t="n">
        <x:f>AJ29-AJ37</x:f>
        <x:v>221519.66051409897</x:v>
      </x:c>
      <x:c r="AK40" s="128" t="n">
        <x:f>AK29-AK37</x:f>
        <x:v>262970.33413358906</x:v>
      </x:c>
      <x:c r="AL40" s="128" t="n">
        <x:f>AL29-AL37</x:f>
        <x:v>311922.95006958285</x:v>
      </x:c>
      <x:c r="AM40" s="129" t="n">
        <x:f>AM29-AM37</x:f>
        <x:v>369729.0667603052</x:v>
      </x:c>
      <x:c r="AN40" s="123"/>
    </x:row>
    <x:row r="41">
      <x:c r="A41" s="127" t="str">
        <x:v>Tax</x:v>
      </x:c>
      <x:c r="B41" s="158" t="str">
        <x:v>MYR</x:v>
      </x:c>
      <x:c r="C41" s="158" t="str">
        <x:v>Positive EBITDA * tax rate</x:v>
      </x:c>
      <x:c r="D41" s="128" t="n">
        <x:f>MAX(0,D40*Assumptions!$C$24)</x:f>
        <x:v>0</x:v>
      </x:c>
      <x:c r="E41" s="128" t="n">
        <x:f>MAX(0,E40*Assumptions!$C$24)</x:f>
        <x:v>0</x:v>
      </x:c>
      <x:c r="F41" s="128" t="n">
        <x:f>MAX(0,F40*Assumptions!$C$24)</x:f>
        <x:v>0</x:v>
      </x:c>
      <x:c r="G41" s="128" t="n">
        <x:f>MAX(0,G40*Assumptions!$C$24)</x:f>
        <x:v>0</x:v>
      </x:c>
      <x:c r="H41" s="128" t="n">
        <x:f>MAX(0,H40*Assumptions!$C$24)</x:f>
        <x:v>0</x:v>
      </x:c>
      <x:c r="I41" s="128" t="n">
        <x:f>MAX(0,I40*Assumptions!$C$24)</x:f>
        <x:v>0</x:v>
      </x:c>
      <x:c r="J41" s="128" t="n">
        <x:f>MAX(0,J40*Assumptions!$C$24)</x:f>
        <x:v>0</x:v>
      </x:c>
      <x:c r="K41" s="128" t="n">
        <x:f>MAX(0,K40*Assumptions!$C$24)</x:f>
        <x:v>0</x:v>
      </x:c>
      <x:c r="L41" s="128" t="n">
        <x:f>MAX(0,L40*Assumptions!$C$24)</x:f>
        <x:v>0</x:v>
      </x:c>
      <x:c r="M41" s="128" t="n">
        <x:f>MAX(0,M40*Assumptions!$C$24)</x:f>
        <x:v>0</x:v>
      </x:c>
      <x:c r="N41" s="128" t="n">
        <x:f>MAX(0,N40*Assumptions!$C$24)</x:f>
        <x:v>0</x:v>
      </x:c>
      <x:c r="O41" s="128" t="n">
        <x:f>MAX(0,O40*Assumptions!$C$24)</x:f>
        <x:v>0</x:v>
      </x:c>
      <x:c r="P41" s="128" t="n">
        <x:f>MAX(0,P40*Assumptions!$C$24)</x:f>
        <x:v>0</x:v>
      </x:c>
      <x:c r="Q41" s="128" t="n">
        <x:f>MAX(0,Q40*Assumptions!$C$24)</x:f>
        <x:v>0</x:v>
      </x:c>
      <x:c r="R41" s="128" t="n">
        <x:f>MAX(0,R40*Assumptions!$C$24)</x:f>
        <x:v>0</x:v>
      </x:c>
      <x:c r="S41" s="128" t="n">
        <x:f>MAX(0,S40*Assumptions!$C$24)</x:f>
        <x:v>0</x:v>
      </x:c>
      <x:c r="T41" s="128" t="n">
        <x:f>MAX(0,T40*Assumptions!$C$24)</x:f>
        <x:v>0</x:v>
      </x:c>
      <x:c r="U41" s="128" t="n">
        <x:f>MAX(0,U40*Assumptions!$C$24)</x:f>
        <x:v>0</x:v>
      </x:c>
      <x:c r="V41" s="128" t="n">
        <x:f>MAX(0,V40*Assumptions!$C$24)</x:f>
        <x:v>0</x:v>
      </x:c>
      <x:c r="W41" s="128" t="n">
        <x:f>MAX(0,W40*Assumptions!$C$24)</x:f>
        <x:v>0</x:v>
      </x:c>
      <x:c r="X41" s="128" t="n">
        <x:f>MAX(0,X40*Assumptions!$C$24)</x:f>
        <x:v>0</x:v>
      </x:c>
      <x:c r="Y41" s="128" t="n">
        <x:f>MAX(0,Y40*Assumptions!$C$24)</x:f>
        <x:v>0</x:v>
      </x:c>
      <x:c r="Z41" s="128" t="n">
        <x:f>MAX(0,Z40*Assumptions!$C$24)</x:f>
        <x:v>0</x:v>
      </x:c>
      <x:c r="AA41" s="128" t="n">
        <x:f>MAX(0,AA40*Assumptions!$C$24)</x:f>
        <x:v>0</x:v>
      </x:c>
      <x:c r="AB41" s="128" t="n">
        <x:f>MAX(0,AB40*Assumptions!$C$24)</x:f>
        <x:v>0</x:v>
      </x:c>
      <x:c r="AC41" s="128" t="n">
        <x:f>MAX(0,AC40*Assumptions!$C$24)</x:f>
        <x:v>0</x:v>
      </x:c>
      <x:c r="AD41" s="128" t="n">
        <x:f>MAX(0,AD40*Assumptions!$C$24)</x:f>
        <x:v>0</x:v>
      </x:c>
      <x:c r="AE41" s="128" t="n">
        <x:f>MAX(0,AE40*Assumptions!$C$24)</x:f>
        <x:v>0</x:v>
      </x:c>
      <x:c r="AF41" s="128" t="n">
        <x:f>MAX(0,AF40*Assumptions!$C$24)</x:f>
        <x:v>0</x:v>
      </x:c>
      <x:c r="AG41" s="128" t="n">
        <x:f>MAX(0,AG40*Assumptions!$C$24)</x:f>
        <x:v>0</x:v>
      </x:c>
      <x:c r="AH41" s="128" t="n">
        <x:f>MAX(0,AH40*Assumptions!$C$24)</x:f>
        <x:v>0</x:v>
      </x:c>
      <x:c r="AI41" s="128" t="n">
        <x:f>MAX(0,AI40*Assumptions!$C$24)</x:f>
        <x:v>0</x:v>
      </x:c>
      <x:c r="AJ41" s="128" t="n">
        <x:f>MAX(0,AJ40*Assumptions!$C$24)</x:f>
        <x:v>0</x:v>
      </x:c>
      <x:c r="AK41" s="128" t="n">
        <x:f>MAX(0,AK40*Assumptions!$C$24)</x:f>
        <x:v>0</x:v>
      </x:c>
      <x:c r="AL41" s="128" t="n">
        <x:f>MAX(0,AL40*Assumptions!$C$24)</x:f>
        <x:v>0</x:v>
      </x:c>
      <x:c r="AM41" s="129" t="n">
        <x:f>MAX(0,AM40*Assumptions!$C$24)</x:f>
        <x:v>0</x:v>
      </x:c>
      <x:c r="AN41" s="123"/>
    </x:row>
    <x:row r="42">
      <x:c r="A42" s="127" t="str">
        <x:v>Net income</x:v>
      </x:c>
      <x:c r="B42" s="158" t="str">
        <x:v>MYR</x:v>
      </x:c>
      <x:c r="C42" s="158" t="str">
        <x:v>EBITDA - tax</x:v>
      </x:c>
      <x:c r="D42" s="128" t="n">
        <x:f>D40-D41</x:f>
        <x:v>-3528.0375</x:v>
      </x:c>
      <x:c r="E42" s="128" t="n">
        <x:f>E40-E41</x:f>
        <x:v>-3427.3642499999996</x:v>
      </x:c>
      <x:c r="F42" s="128" t="n">
        <x:f>F40-F41</x:f>
        <x:v>-3292.1214150000005</x:v>
      </x:c>
      <x:c r="G42" s="128" t="n">
        <x:f>G40-G41</x:f>
        <x:v>-3115.6349217</x:v>
      </x:c>
      <x:c r="H42" s="128" t="n">
        <x:f>H40-H41</x:f>
        <x:v>-2890.014560046001</x:v>
      </x:c>
      <x:c r="I42" s="128" t="n">
        <x:f>I40-I41</x:f>
        <x:v>-2605.9346722210794</x:v>
      </x:c>
      <x:c r="J42" s="128" t="n">
        <x:f>J40-J41</x:f>
        <x:v>-2252.375352331672</x:v>
      </x:c>
      <x:c r="K42" s="128" t="n">
        <x:f>K40-K41</x:f>
        <x:v>-1816.3170483483964</x:v>
      </x:c>
      <x:c r="L42" s="128" t="n">
        <x:f>L40-L41</x:f>
        <x:v>-1282.3801783295548</x:v>
      </x:c>
      <x:c r="M42" s="128" t="n">
        <x:f>M40-M41</x:f>
        <x:v>-632.3998631080849</x:v>
      </x:c>
      <x:c r="N42" s="128" t="n">
        <x:f>N40-N41</x:f>
        <x:v>155.07590399733454</x:v>
      </x:c>
      <x:c r="O42" s="128" t="n">
        <x:f>O40-O41</x:f>
        <x:v>1105.378432198404</x:v>
      </x:c>
      <x:c r="P42" s="128" t="n">
        <x:f>P40-P41</x:f>
        <x:v>2248.417115460559</x:v>
      </x:c>
      <x:c r="Q42" s="128" t="n">
        <x:f>Q40-Q41</x:f>
        <x:v>3619.504011673731</x:v>
      </x:c>
      <x:c r="R42" s="128" t="n">
        <x:f>R40-R41</x:f>
        <x:v>5260.326862678019</x:v>
      </x:c>
      <x:c r="S42" s="128" t="n">
        <x:f>S40-S41</x:f>
        <x:v>7220.09727496971</x:v>
      </x:c>
      <x:c r="T42" s="128" t="n">
        <x:f>T40-T41</x:f>
        <x:v>9556.905590496557</x:v>
      </x:c>
      <x:c r="U42" s="128" t="n">
        <x:f>U40-U41</x:f>
        <x:v>12339.31965226019</x:v>
      </x:c>
      <x:c r="V42" s="128" t="n">
        <x:f>V40-V41</x:f>
        <x:v>15648.271366308654</x:v>
      </x:c>
      <x:c r="W42" s="128" t="n">
        <x:f>W40-W41</x:f>
        <x:v>19579.282864003162</x:v>
      </x:c>
      <x:c r="X42" s="128" t="n">
        <x:f>X40-X41</x:f>
        <x:v>24245.09339315896</x:v>
      </x:c>
      <x:c r="Y42" s="128" t="n">
        <x:f>Y40-Y41</x:f>
        <x:v>29778.75906982569</x:v>
      </x:c>
      <x:c r="Z42" s="128" t="n">
        <x:f>Z40-Z41</x:f>
        <x:v>36337.31060620756</x:v>
      </x:c>
      <x:c r="AA42" s="128" t="n">
        <x:f>AA40-AA41</x:f>
        <x:v>44106.06945103262</x:v>
      </x:c>
      <x:c r="AB42" s="128" t="n">
        <x:f>AB40-AB41</x:f>
        <x:v>53303.740857234094</x:v>
      </x:c>
      <x:c r="AC42" s="128" t="n">
        <x:f>AC40-AC41</x:f>
        <x:v>64188.42372450183</x:v>
      </x:c>
      <x:c r="AD42" s="128" t="n">
        <x:f>AD40-AD41</x:f>
        <x:v>77064.70223684228</x:v>
      </x:c>
      <x:c r="AE42" s="128" t="n">
        <x:f>AE40-AE41</x:f>
        <x:v>92292.01401893026</x:v>
      </x:c>
      <x:c r="AF42" s="128" t="n">
        <x:f>AF40-AF41</x:f>
        <x:v>110294.52458533796</x:v>
      </x:c>
      <x:c r="AG42" s="128" t="n">
        <x:f>AG40-AG41</x:f>
        <x:v>131572.7792160845</x:v>
      </x:c>
      <x:c r="AH42" s="128" t="n">
        <x:f>AH40-AH41</x:f>
        <x:v>156717.4521959896</x:v>
      </x:c>
      <x:c r="AI42" s="128" t="n">
        <x:f>AI40-AI41</x:f>
        <x:v>186425.57094408668</x:v>
      </x:c>
      <x:c r="AJ42" s="128" t="n">
        <x:f>AJ40-AJ41</x:f>
        <x:v>221519.66051409897</x:v>
      </x:c>
      <x:c r="AK42" s="128" t="n">
        <x:f>AK40-AK41</x:f>
        <x:v>262970.33413358906</x:v>
      </x:c>
      <x:c r="AL42" s="128" t="n">
        <x:f>AL40-AL41</x:f>
        <x:v>311922.95006958285</x:v>
      </x:c>
      <x:c r="AM42" s="129" t="n">
        <x:f>AM40-AM41</x:f>
        <x:v>369729.0667603052</x:v>
      </x:c>
      <x:c r="AN42" s="123"/>
    </x:row>
    <x:row r="43">
      <x:c r="A43" s="130" t="str">
        <x:v>Ending cash</x:v>
      </x:c>
      <x:c r="B43" s="162" t="str">
        <x:v>MYR</x:v>
      </x:c>
      <x:c r="C43" s="162" t="str">
        <x:v>Starting cash + cumulative net income</x:v>
      </x:c>
      <x:c r="D43" s="131" t="n">
        <x:f>Assumptions!$C$23+D42</x:f>
        <x:v>6471.9625</x:v>
      </x:c>
      <x:c r="E43" s="131" t="n">
        <x:f>D43+E42</x:f>
        <x:v>3044.59825</x:v>
      </x:c>
      <x:c r="F43" s="131" t="n">
        <x:f>E43+F42</x:f>
        <x:v>-247.52316500000052</x:v>
      </x:c>
      <x:c r="G43" s="131" t="n">
        <x:f>F43+G42</x:f>
        <x:v>-3363.1580867000007</x:v>
      </x:c>
      <x:c r="H43" s="131" t="n">
        <x:f>G43+H42</x:f>
        <x:v>-6253.172646746001</x:v>
      </x:c>
      <x:c r="I43" s="131" t="n">
        <x:f>H43+I42</x:f>
        <x:v>-8859.10731896708</x:v>
      </x:c>
      <x:c r="J43" s="131" t="n">
        <x:f>I43+J42</x:f>
        <x:v>-11111.482671298752</x:v>
      </x:c>
      <x:c r="K43" s="131" t="n">
        <x:f>J43+K42</x:f>
        <x:v>-12927.799719647148</x:v>
      </x:c>
      <x:c r="L43" s="131" t="n">
        <x:f>K43+L42</x:f>
        <x:v>-14210.179897976703</x:v>
      </x:c>
      <x:c r="M43" s="131" t="n">
        <x:f>L43+M42</x:f>
        <x:v>-14842.579761084788</x:v>
      </x:c>
      <x:c r="N43" s="131" t="n">
        <x:f>M43+N42</x:f>
        <x:v>-14687.503857087453</x:v>
      </x:c>
      <x:c r="O43" s="131" t="n">
        <x:f>N43+O42</x:f>
        <x:v>-13582.12542488905</x:v>
      </x:c>
      <x:c r="P43" s="131" t="n">
        <x:f>O43+P42</x:f>
        <x:v>-11333.70830942849</x:v>
      </x:c>
      <x:c r="Q43" s="131" t="n">
        <x:f>P43+Q42</x:f>
        <x:v>-7714.204297754759</x:v>
      </x:c>
      <x:c r="R43" s="131" t="n">
        <x:f>Q43+R42</x:f>
        <x:v>-2453.87743507674</x:v>
      </x:c>
      <x:c r="S43" s="131" t="n">
        <x:f>R43+S42</x:f>
        <x:v>4766.21983989297</x:v>
      </x:c>
      <x:c r="T43" s="131" t="n">
        <x:f>S43+T42</x:f>
        <x:v>14323.125430389528</x:v>
      </x:c>
      <x:c r="U43" s="131" t="n">
        <x:f>T43+U42</x:f>
        <x:v>26662.44508264972</x:v>
      </x:c>
      <x:c r="V43" s="131" t="n">
        <x:f>U43+V42</x:f>
        <x:v>42310.716448958374</x:v>
      </x:c>
      <x:c r="W43" s="131" t="n">
        <x:f>V43+W42</x:f>
        <x:v>61889.99931296153</x:v>
      </x:c>
      <x:c r="X43" s="131" t="n">
        <x:f>W43+X42</x:f>
        <x:v>86135.09270612049</x:v>
      </x:c>
      <x:c r="Y43" s="131" t="n">
        <x:f>X43+Y42</x:f>
        <x:v>115913.85177594618</x:v>
      </x:c>
      <x:c r="Z43" s="131" t="n">
        <x:f>Y43+Z42</x:f>
        <x:v>152251.16238215374</x:v>
      </x:c>
      <x:c r="AA43" s="131" t="n">
        <x:f>Z43+AA42</x:f>
        <x:v>196357.23183318635</x:v>
      </x:c>
      <x:c r="AB43" s="131" t="n">
        <x:f>AA43+AB42</x:f>
        <x:v>249660.97269042046</x:v>
      </x:c>
      <x:c r="AC43" s="131" t="n">
        <x:f>AB43+AC42</x:f>
        <x:v>313849.3964149223</x:v>
      </x:c>
      <x:c r="AD43" s="131" t="n">
        <x:f>AC43+AD42</x:f>
        <x:v>390914.09865176457</x:v>
      </x:c>
      <x:c r="AE43" s="131" t="n">
        <x:f>AD43+AE42</x:f>
        <x:v>483206.1126706948</x:v>
      </x:c>
      <x:c r="AF43" s="131" t="n">
        <x:f>AE43+AF42</x:f>
        <x:v>593500.6372560328</x:v>
      </x:c>
      <x:c r="AG43" s="131" t="n">
        <x:f>AF43+AG42</x:f>
        <x:v>725073.4164721173</x:v>
      </x:c>
      <x:c r="AH43" s="131" t="n">
        <x:f>AG43+AH42</x:f>
        <x:v>881790.8686681069</x:v>
      </x:c>
      <x:c r="AI43" s="131" t="n">
        <x:f>AH43+AI42</x:f>
        <x:v>1068216.4396121935</x:v>
      </x:c>
      <x:c r="AJ43" s="131" t="n">
        <x:f>AI43+AJ42</x:f>
        <x:v>1289736.1001262926</x:v>
      </x:c>
      <x:c r="AK43" s="131" t="n">
        <x:f>AJ43+AK42</x:f>
        <x:v>1552706.4342598817</x:v>
      </x:c>
      <x:c r="AL43" s="131" t="n">
        <x:f>AK43+AL42</x:f>
        <x:v>1864629.3843294645</x:v>
      </x:c>
      <x:c r="AM43" s="132" t="n">
        <x:f>AL43+AM42</x:f>
        <x:v>2234358.4510897696</x:v>
      </x:c>
      <x:c r="AN43" s="123"/>
    </x:row>
  </x:sheetData>
  <x:mergeCells>
    <x:mergeCell ref="A1:AN1"/>
    <x:mergeCell ref="A2:H2"/>
    <x:mergeCell ref="A6:AM6"/>
    <x:mergeCell ref="A11:AM11"/>
    <x:mergeCell ref="A16:AM16"/>
    <x:mergeCell ref="A22:AM22"/>
    <x:mergeCell ref="A28:AM28"/>
    <x:mergeCell ref="A32:AM32"/>
    <x:mergeCell ref="A39:AM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5" hidden="0" customWidth="1"/>
    <x:col min="3" max="3" width="15" hidden="0" customWidth="1"/>
    <x:col min="4" max="4" width="15" hidden="0" customWidth="1"/>
    <x:col min="5" max="5" width="17.5" hidden="0" customWidth="1"/>
    <x:col min="6" max="6" width="17.5" hidden="0" customWidth="1"/>
    <x:col min="7" max="7" width="17.5" hidden="0" customWidth="1"/>
    <x:col min="8" max="8" width="20" hidden="0" customWidth="1"/>
  </x:cols>
  <x:sheetData>
    <x:row r="1" ht="31.5" customHeight="1">
      <x:c r="A1" s="122" t="str">
        <x:v>Annual Summary (MYR)</x:v>
      </x:c>
      <x:c r="B1" s="122" t="str">
        <x:v>Annual Summary (MYR)</x:v>
      </x:c>
      <x:c r="C1" s="122" t="str">
        <x:v>Annual Summary (MYR)</x:v>
      </x:c>
      <x:c r="D1" s="122" t="str">
        <x:v>Annual Summary (MYR)</x:v>
      </x:c>
      <x:c r="E1" s="122" t="str">
        <x:v>Annual Summary (MYR)</x:v>
      </x:c>
      <x:c r="F1" s="122" t="str">
        <x:v>Annual Summary (MYR)</x:v>
      </x:c>
      <x:c r="G1" s="122" t="str">
        <x:v>Annual Summary (MYR)</x:v>
      </x:c>
      <x:c r="H1" s="122" t="str">
        <x:v>Annual Summary (MYR)</x:v>
      </x:c>
    </x:row>
    <x:row r="2">
      <x:c r="A2" s="103" t="str">
        <x:v>Yearly roll-up from the monthly model.</x:v>
      </x:c>
      <x:c r="B2" s="123"/>
      <x:c r="C2" s="123"/>
      <x:c r="D2" s="123"/>
      <x:c r="E2" s="123"/>
      <x:c r="F2" s="123"/>
      <x:c r="G2" s="123"/>
      <x:c r="H2" s="123"/>
    </x:row>
    <x:row r="3">
      <x:c r="A3" s="123"/>
      <x:c r="B3" s="123"/>
      <x:c r="C3" s="123"/>
      <x:c r="D3" s="123"/>
      <x:c r="E3" s="123"/>
      <x:c r="F3" s="123"/>
      <x:c r="G3" s="123"/>
      <x:c r="H3" s="123"/>
    </x:row>
    <x:row r="4">
      <x:c r="A4" s="105" t="str">
        <x:v>Metric</x:v>
      </x:c>
      <x:c r="B4" s="106" t="str">
        <x:v>Year 1</x:v>
      </x:c>
      <x:c r="C4" s="106" t="str">
        <x:v>Year 2</x:v>
      </x:c>
      <x:c r="D4" s="106" t="str">
        <x:v>Year 3</x:v>
      </x:c>
      <x:c r="E4" s="107" t="str">
        <x:v>3-Year Total</x:v>
      </x:c>
      <x:c r="F4" s="123"/>
      <x:c r="G4" s="123"/>
      <x:c r="H4" s="123"/>
    </x:row>
    <x:row r="5">
      <x:c r="A5" s="124" t="str">
        <x:v>New paid users</x:v>
      </x:c>
      <x:c r="B5" s="170" t="n">
        <x:f>SUM('Monthly Model'!D7:O7)</x:f>
        <x:v>1047.932104184854</x:v>
      </x:c>
      <x:c r="C5" s="170" t="n">
        <x:f>SUM('Monthly Model'!P7:AA7)</x:f>
        <x:v>7636.902274072628</x:v>
      </x:c>
      <x:c r="D5" s="170" t="n">
        <x:f>SUM('Monthly Model'!AB7:AM7)</x:f>
        <x:v>55654.63269121076</x:v>
      </x:c>
      <x:c r="E5" s="171" t="n">
        <x:f>SUM(B5:D5)</x:f>
        <x:v>64339.46706946824</x:v>
      </x:c>
      <x:c r="F5" s="123"/>
      <x:c r="G5" s="123"/>
      <x:c r="H5" s="123"/>
    </x:row>
    <x:row r="6">
      <x:c r="A6" s="127" t="str">
        <x:v>Ending active paid users</x:v>
      </x:c>
      <x:c r="B6" s="133" t="n">
        <x:f>'Monthly Model'!O9</x:f>
        <x:v>941.9643234448123</x:v>
      </x:c>
      <x:c r="C6" s="133" t="n">
        <x:f>'Monthly Model'!AA9</x:f>
        <x:v>7518.227006804737</x:v>
      </x:c>
      <x:c r="D6" s="133" t="n">
        <x:f>'Monthly Model'!AM9</x:f>
        <x:v>55243.25353641919</x:v>
      </x:c>
      <x:c r="E6" s="134" t="n">
        <x:f>D6</x:f>
        <x:v>55243.25353641919</x:v>
      </x:c>
      <x:c r="F6" s="123"/>
      <x:c r="G6" s="123"/>
      <x:c r="H6" s="123"/>
    </x:row>
    <x:row r="7">
      <x:c r="A7" s="127" t="str">
        <x:v>Gross revenue</x:v>
      </x:c>
      <x:c r="B7" s="128" t="n">
        <x:f>SUM('Monthly Model'!D20:O20)</x:f>
        <x:v>68901.53585015415</x:v>
      </x:c>
      <x:c r="C7" s="128" t="n">
        <x:f>SUM('Monthly Model'!P20:AA20)</x:f>
        <x:v>502126.32452027523</x:v>
      </x:c>
      <x:c r="D7" s="128" t="n">
        <x:f>SUM('Monthly Model'!AB20:AM20)</x:f>
        <x:v>3659292.0994471074</x:v>
      </x:c>
      <x:c r="E7" s="129" t="n">
        <x:f>SUM(B7:D7)</x:f>
        <x:v>4230319.959817537</x:v>
      </x:c>
      <x:c r="F7" s="123"/>
      <x:c r="G7" s="123"/>
      <x:c r="H7" s="123"/>
    </x:row>
    <x:row r="8">
      <x:c r="A8" s="127" t="str">
        <x:v>Total COGS</x:v>
      </x:c>
      <x:c r="B8" s="128" t="n">
        <x:f>SUM('Monthly Model'!D26:O26)</x:f>
        <x:v>8348.77993432828</x:v>
      </x:c>
      <x:c r="C8" s="128" t="n">
        <x:f>SUM('Monthly Model'!P26:AA26)</x:f>
        <x:v>68302.18404056638</x:v>
      </x:c>
      <x:c r="D8" s="128" t="n">
        <x:f>SUM('Monthly Model'!AB26:AM26)</x:f>
        <x:v>502934.3325687994</x:v>
      </x:c>
      <x:c r="E8" s="129" t="n">
        <x:f>SUM(B8:D8)</x:f>
        <x:v>579585.2965436941</x:v>
      </x:c>
      <x:c r="F8" s="123"/>
      <x:c r="G8" s="123"/>
      <x:c r="H8" s="123"/>
    </x:row>
    <x:row r="9">
      <x:c r="A9" s="127" t="str">
        <x:v>Gross profit</x:v>
      </x:c>
      <x:c r="B9" s="128" t="n">
        <x:f>SUM('Monthly Model'!D29:O29)</x:f>
        <x:v>60552.75591582588</x:v>
      </x:c>
      <x:c r="C9" s="128" t="n">
        <x:f>SUM('Monthly Model'!P29:AA29)</x:f>
        <x:v>433824.1404797089</x:v>
      </x:c>
      <x:c r="D9" s="128" t="n">
        <x:f>SUM('Monthly Model'!AB29:AM29)</x:f>
        <x:v>3156357.7668783083</x:v>
      </x:c>
      <x:c r="E9" s="129" t="n">
        <x:f>SUM(B9:D9)</x:f>
        <x:v>3650734.663273843</x:v>
      </x:c>
      <x:c r="F9" s="123"/>
      <x:c r="G9" s="123"/>
      <x:c r="H9" s="123"/>
    </x:row>
    <x:row r="10">
      <x:c r="A10" s="127" t="str">
        <x:v>Gross margin</x:v>
      </x:c>
      <x:c r="B10" s="166" t="n">
        <x:f>IFERROR(B9/B7,0)</x:f>
        <x:v>0.8788302781452499</x:v>
      </x:c>
      <x:c r="C10" s="166" t="n">
        <x:f>IFERROR(C9/C7,0)</x:f>
        <x:v>0.8639741023221172</x:v>
      </x:c>
      <x:c r="D10" s="166" t="n">
        <x:f>IFERROR(D9/D7,0)</x:f>
        <x:v>0.8625596648475291</x:v>
      </x:c>
      <x:c r="E10" s="167" t="n">
        <x:f>IFERROR(E9/E7,0)</x:f>
        <x:v>0.8629925627259899</x:v>
      </x:c>
      <x:c r="F10" s="123"/>
      <x:c r="G10" s="123"/>
      <x:c r="H10" s="123"/>
    </x:row>
    <x:row r="11">
      <x:c r="A11" s="127" t="str">
        <x:v>Total Opex</x:v>
      </x:c>
      <x:c r="B11" s="128" t="n">
        <x:f>SUM('Monthly Model'!D37:O37)</x:f>
        <x:v>84134.88134071493</x:v>
      </x:c>
      <x:c r="C11" s="128" t="n">
        <x:f>SUM('Monthly Model'!P37:AA37)</x:f>
        <x:v>223884.78322163344</x:v>
      </x:c>
      <x:c r="D11" s="128" t="n">
        <x:f>SUM('Monthly Model'!AB37:AM37)</x:f>
        <x:v>1118356.5476217251</x:v>
      </x:c>
      <x:c r="E11" s="129" t="n">
        <x:f>SUM(B11:D11)</x:f>
        <x:v>1426376.2121840734</x:v>
      </x:c>
      <x:c r="F11" s="123"/>
      <x:c r="G11" s="123"/>
      <x:c r="H11" s="123"/>
    </x:row>
    <x:row r="12">
      <x:c r="A12" s="127" t="str">
        <x:v>EBITDA</x:v>
      </x:c>
      <x:c r="B12" s="128" t="n">
        <x:f>SUM('Monthly Model'!D40:O40)</x:f>
        <x:v>-23582.12542488904</x:v>
      </x:c>
      <x:c r="C12" s="128" t="n">
        <x:f>SUM('Monthly Model'!P40:AA40)</x:f>
        <x:v>209939.3572580754</x:v>
      </x:c>
      <x:c r="D12" s="128" t="n">
        <x:f>SUM('Monthly Model'!AB40:AM40)</x:f>
        <x:v>2038001.2192565831</x:v>
      </x:c>
      <x:c r="E12" s="129" t="n">
        <x:f>SUM(B12:D12)</x:f>
        <x:v>2224358.4510897696</x:v>
      </x:c>
      <x:c r="F12" s="123"/>
      <x:c r="G12" s="123"/>
      <x:c r="H12" s="123"/>
    </x:row>
    <x:row r="13">
      <x:c r="A13" s="127" t="str">
        <x:v>Net income</x:v>
      </x:c>
      <x:c r="B13" s="128" t="n">
        <x:f>SUM('Monthly Model'!D42:O42)</x:f>
        <x:v>-23582.12542488904</x:v>
      </x:c>
      <x:c r="C13" s="128" t="n">
        <x:f>SUM('Monthly Model'!P42:AA42)</x:f>
        <x:v>209939.3572580754</x:v>
      </x:c>
      <x:c r="D13" s="128" t="n">
        <x:f>SUM('Monthly Model'!AB42:AM42)</x:f>
        <x:v>2038001.2192565831</x:v>
      </x:c>
      <x:c r="E13" s="129" t="n">
        <x:f>SUM(B13:D13)</x:f>
        <x:v>2224358.4510897696</x:v>
      </x:c>
      <x:c r="F13" s="123"/>
      <x:c r="G13" s="123"/>
      <x:c r="H13" s="123"/>
    </x:row>
    <x:row r="14">
      <x:c r="A14" s="130" t="str">
        <x:v>Ending cash</x:v>
      </x:c>
      <x:c r="B14" s="131" t="n">
        <x:f>'Monthly Model'!O43</x:f>
        <x:v>-13582.12542488905</x:v>
      </x:c>
      <x:c r="C14" s="131" t="n">
        <x:f>'Monthly Model'!AA43</x:f>
        <x:v>196357.23183318635</x:v>
      </x:c>
      <x:c r="D14" s="131" t="n">
        <x:f>'Monthly Model'!AM43</x:f>
        <x:v>2234358.4510897696</x:v>
      </x:c>
      <x:c r="E14" s="132" t="n">
        <x:f>D14</x:f>
        <x:v>2234358.4510897696</x:v>
      </x:c>
      <x:c r="F14" s="123"/>
      <x:c r="G14" s="123"/>
      <x:c r="H14" s="12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40690af06745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8.75" hidden="0" customWidth="1"/>
    <x:col min="3" max="3" width="18.75" hidden="0" customWidth="1"/>
    <x:col min="4" max="4" width="18.75" hidden="0" customWidth="1"/>
    <x:col min="5" max="5" width="25" hidden="0" customWidth="1"/>
    <x:col min="6" max="6" width="27.5" hidden="0" customWidth="1"/>
    <x:col min="7" max="7" width="15" hidden="0" customWidth="1"/>
    <x:col min="8" max="8" width="15" hidden="0" customWidth="1"/>
  </x:cols>
  <x:sheetData>
    <x:row r="1" ht="31.5" customHeight="1">
      <x:c r="A1" s="122" t="str">
        <x:v>Unit Economics</x:v>
      </x:c>
      <x:c r="B1" s="122" t="str">
        <x:v>Unit Economics</x:v>
      </x:c>
      <x:c r="C1" s="122" t="str">
        <x:v>Unit Economics</x:v>
      </x:c>
      <x:c r="D1" s="122" t="str">
        <x:v>Unit Economics</x:v>
      </x:c>
      <x:c r="E1" s="122" t="str">
        <x:v>Unit Economics</x:v>
      </x:c>
      <x:c r="F1" s="122" t="str">
        <x:v>Unit Economics</x:v>
      </x:c>
      <x:c r="G1" s="122" t="str">
        <x:v>Unit Economics</x:v>
      </x:c>
      <x:c r="H1" s="122" t="str">
        <x:v>Unit Economics</x:v>
      </x:c>
    </x:row>
    <x:row r="2">
      <x:c r="A2" s="103" t="str">
        <x:v>Contribution per new paid user and payback using Base Case assumptions.</x:v>
      </x:c>
      <x:c r="B2" s="123"/>
      <x:c r="C2" s="123"/>
      <x:c r="D2" s="123"/>
      <x:c r="E2" s="123"/>
      <x:c r="F2" s="123"/>
      <x:c r="G2" s="123"/>
      <x:c r="H2" s="123"/>
    </x:row>
    <x:row r="3">
      <x:c r="A3" s="123"/>
      <x:c r="B3" s="123"/>
      <x:c r="C3" s="123"/>
      <x:c r="D3" s="123"/>
      <x:c r="E3" s="123"/>
      <x:c r="F3" s="123"/>
      <x:c r="G3" s="123"/>
      <x:c r="H3" s="123"/>
    </x:row>
    <x:row r="4">
      <x:c r="A4" s="105" t="str">
        <x:v>Metric</x:v>
      </x:c>
      <x:c r="B4" s="106" t="str">
        <x:v>Formula / Basis</x:v>
      </x:c>
      <x:c r="C4" s="106" t="str">
        <x:v>Value</x:v>
      </x:c>
      <x:c r="D4" s="106" t="str">
        <x:v>Unit</x:v>
      </x:c>
      <x:c r="E4" s="107" t="str">
        <x:v>Interpretation</x:v>
      </x:c>
      <x:c r="F4" s="123"/>
      <x:c r="G4" s="123"/>
      <x:c r="H4" s="123"/>
    </x:row>
    <x:row r="5">
      <x:c r="A5" s="124" t="str">
        <x:v>Weighted average pass revenue</x:v>
      </x:c>
      <x:c r="B5" s="163" t="str">
        <x:v>3M price * mix + 6M price * (1 - mix)</x:v>
      </x:c>
      <x:c r="C5" s="125" t="n">
        <x:f>Assumptions!$C$6*Assumptions!$C$9+Assumptions!$C$7*(1-Assumptions!$C$9)</x:f>
        <x:v>61</x:v>
      </x:c>
      <x:c r="D5" s="163" t="str">
        <x:v>MYR/user</x:v>
      </x:c>
      <x:c r="E5" s="164" t="str">
        <x:v>Average base pass revenue before AI upgrade.</x:v>
      </x:c>
      <x:c r="F5" s="123"/>
      <x:c r="G5" s="123"/>
      <x:c r="H5" s="123"/>
    </x:row>
    <x:row r="6">
      <x:c r="A6" s="127" t="str">
        <x:v>AI revenue per paid user</x:v>
      </x:c>
      <x:c r="B6" s="158" t="str">
        <x:v>AI upgrade price * attach rate</x:v>
      </x:c>
      <x:c r="C6" s="128" t="n">
        <x:f>Assumptions!$C$8*Assumptions!$C$10</x:f>
        <x:v>4.75</x:v>
      </x:c>
      <x:c r="D6" s="158" t="str">
        <x:v>MYR/user</x:v>
      </x:c>
      <x:c r="E6" s="165" t="str">
        <x:v>Incremental revenue from bundled AI.</x:v>
      </x:c>
      <x:c r="F6" s="123"/>
      <x:c r="G6" s="123"/>
      <x:c r="H6" s="123"/>
    </x:row>
    <x:row r="7">
      <x:c r="A7" s="127" t="str">
        <x:v>ARPPU per new paid user</x:v>
      </x:c>
      <x:c r="B7" s="158" t="str">
        <x:v>Pass revenue + AI revenue</x:v>
      </x:c>
      <x:c r="C7" s="128" t="n">
        <x:f>C5+C6</x:f>
        <x:v>65.75</x:v>
      </x:c>
      <x:c r="D7" s="158" t="str">
        <x:v>MYR/user</x:v>
      </x:c>
      <x:c r="E7" s="165" t="str">
        <x:v>Blended revenue per paid user.</x:v>
      </x:c>
      <x:c r="F7" s="123"/>
      <x:c r="G7" s="123"/>
      <x:c r="H7" s="123"/>
    </x:row>
    <x:row r="8">
      <x:c r="A8" s="127" t="str">
        <x:v>Payment fee per paid user</x:v>
      </x:c>
      <x:c r="B8" s="158" t="str">
        <x:v>ARPPU * fee rate + fixed fee</x:v>
      </x:c>
      <x:c r="C8" s="128" t="n">
        <x:f>C7*Assumptions!$C$15+Assumptions!$C$16</x:f>
        <x:v>3.30125</x:v>
      </x:c>
      <x:c r="D8" s="158" t="str">
        <x:v>MYR/user</x:v>
      </x:c>
      <x:c r="E8" s="165" t="str">
        <x:v>Payment COGS estimate.</x:v>
      </x:c>
      <x:c r="F8" s="123"/>
      <x:c r="G8" s="123"/>
      <x:c r="H8" s="123"/>
    </x:row>
    <x:row r="9">
      <x:c r="A9" s="127" t="str">
        <x:v>AI COGS per paid user</x:v>
      </x:c>
      <x:c r="B9" s="158" t="str">
        <x:v>AI cost/user * attach rate</x:v>
      </x:c>
      <x:c r="C9" s="128" t="n">
        <x:f>Assumptions!$C$17*Assumptions!$C$10</x:f>
        <x:v>1.25</x:v>
      </x:c>
      <x:c r="D9" s="158" t="str">
        <x:v>MYR/user</x:v>
      </x:c>
      <x:c r="E9" s="165" t="str">
        <x:v>Weighted AI cost across all paid users.</x:v>
      </x:c>
      <x:c r="F9" s="123"/>
      <x:c r="G9" s="123"/>
      <x:c r="H9" s="123"/>
    </x:row>
    <x:row r="10">
      <x:c r="A10" s="127" t="str">
        <x:v>Contribution before infra</x:v>
      </x:c>
      <x:c r="B10" s="158" t="str">
        <x:v>ARPPU - payment - AI COGS</x:v>
      </x:c>
      <x:c r="C10" s="128" t="n">
        <x:f>C7-C8-C9</x:f>
        <x:v>61.19875</x:v>
      </x:c>
      <x:c r="D10" s="158" t="str">
        <x:v>MYR/user</x:v>
      </x:c>
      <x:c r="E10" s="165" t="str">
        <x:v>Useful for acquisition planning.</x:v>
      </x:c>
      <x:c r="F10" s="123"/>
      <x:c r="G10" s="123"/>
      <x:c r="H10" s="123"/>
    </x:row>
    <x:row r="11">
      <x:c r="A11" s="127" t="str">
        <x:v>CAC</x:v>
      </x:c>
      <x:c r="B11" s="158" t="str">
        <x:v>Assumptions base case</x:v>
      </x:c>
      <x:c r="C11" s="128" t="n">
        <x:f>Assumptions!$C$14</x:f>
        <x:v>18</x:v>
      </x:c>
      <x:c r="D11" s="158" t="str">
        <x:v>MYR/user</x:v>
      </x:c>
      <x:c r="E11" s="165" t="str">
        <x:v>Blended paid acquisition cost.</x:v>
      </x:c>
      <x:c r="F11" s="123"/>
      <x:c r="G11" s="123"/>
      <x:c r="H11" s="123"/>
    </x:row>
    <x:row r="12">
      <x:c r="A12" s="127" t="str">
        <x:v>Contribution after CAC</x:v>
      </x:c>
      <x:c r="B12" s="158" t="str">
        <x:v>Contribution before infra - CAC</x:v>
      </x:c>
      <x:c r="C12" s="128" t="n">
        <x:f>C10-C11</x:f>
        <x:v>43.19875</x:v>
      </x:c>
      <x:c r="D12" s="158" t="str">
        <x:v>MYR/user</x:v>
      </x:c>
      <x:c r="E12" s="165" t="str">
        <x:v>Must be positive for scalable B2C growth.</x:v>
      </x:c>
      <x:c r="F12" s="123"/>
      <x:c r="G12" s="123"/>
      <x:c r="H12" s="123"/>
    </x:row>
    <x:row r="13">
      <x:c r="A13" s="130" t="str">
        <x:v>CAC payback</x:v>
      </x:c>
      <x:c r="B13" s="162" t="str">
        <x:v>CAC / contribution before infra</x:v>
      </x:c>
      <x:c r="C13" s="175" t="n">
        <x:f>IFERROR(C11/C10,0)</x:f>
        <x:v>0.294123654486407</x:v>
      </x:c>
      <x:c r="D13" s="162" t="str">
        <x:v>x</x:v>
      </x:c>
      <x:c r="E13" s="176" t="str">
        <x:v>Below 1.0x means CAC is recovered inside initial transaction.</x:v>
      </x:c>
      <x:c r="F13" s="123"/>
      <x:c r="G13" s="123"/>
      <x:c r="H13" s="12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51dd30312645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7.5" hidden="0" customWidth="1"/>
    <x:col min="3" max="3" width="17.5" hidden="0" customWidth="1"/>
    <x:col min="4" max="4" width="17.5" hidden="0" customWidth="1"/>
    <x:col min="5" max="5" width="18.75" hidden="0" customWidth="1"/>
    <x:col min="6" max="6" width="18.75" hidden="0" customWidth="1"/>
    <x:col min="7" max="7" width="18.75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1.5" customHeight="1">
      <x:c r="A1" s="122" t="str">
        <x:v>Scenario Summary</x:v>
      </x:c>
      <x:c r="B1" s="122" t="str">
        <x:v>Scenario Summary</x:v>
      </x:c>
      <x:c r="C1" s="122" t="str">
        <x:v>Scenario Summary</x:v>
      </x:c>
      <x:c r="D1" s="122" t="str">
        <x:v>Scenario Summary</x:v>
      </x:c>
      <x:c r="E1" s="122" t="str">
        <x:v>Scenario Summary</x:v>
      </x:c>
      <x:c r="F1" s="122" t="str">
        <x:v>Scenario Summary</x:v>
      </x:c>
      <x:c r="G1" s="122" t="str">
        <x:v>Scenario Summary</x:v>
      </x:c>
      <x:c r="H1" s="122" t="str">
        <x:v>Scenario Summary</x:v>
      </x:c>
      <x:c r="I1" s="122" t="str">
        <x:v>Scenario Summary</x:v>
      </x:c>
      <x:c r="J1" s="122" t="str">
        <x:v>Scenario Summary</x:v>
      </x:c>
    </x:row>
    <x:row r="2">
      <x:c r="A2" s="103" t="str">
        <x:v>Bear, Base, and Bull cases are linked to the assumption columns.</x:v>
      </x:c>
      <x:c r="B2" s="123"/>
      <x:c r="C2" s="123"/>
      <x:c r="D2" s="123"/>
      <x:c r="E2" s="123"/>
      <x:c r="F2" s="123"/>
      <x:c r="G2" s="123"/>
      <x:c r="H2" s="123"/>
      <x:c r="I2" s="123"/>
      <x:c r="J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</x:row>
    <x:row r="4">
      <x:c r="A4" s="105" t="str">
        <x:v>Metric</x:v>
      </x:c>
      <x:c r="B4" s="106" t="str">
        <x:v>Bear</x:v>
      </x:c>
      <x:c r="C4" s="106" t="str">
        <x:v>Base</x:v>
      </x:c>
      <x:c r="D4" s="106" t="str">
        <x:v>Bull</x:v>
      </x:c>
      <x:c r="E4" s="106" t="str">
        <x:v>Bear Formula</x:v>
      </x:c>
      <x:c r="F4" s="106" t="str">
        <x:v>Base Formula</x:v>
      </x:c>
      <x:c r="G4" s="106" t="str">
        <x:v>Bull Formula</x:v>
      </x:c>
      <x:c r="H4" s="106" t="str">
        <x:v>Notes</x:v>
      </x:c>
      <x:c r="I4" s="106" t="str"/>
      <x:c r="J4" s="107" t="str"/>
    </x:row>
    <x:row r="5">
      <x:c r="A5" s="124" t="str">
        <x:v>Month 36 active paid users</x:v>
      </x:c>
      <x:c r="B5" s="170" t="n">
        <x:f>Assumptions!$D$11*(1+Assumptions!$D$12)^35</x:f>
        <x:v>421.53655272096495</x:v>
      </x:c>
      <x:c r="C5" s="170" t="n">
        <x:f>'Annual Summary'!D6</x:f>
        <x:v>55243.25353641919</x:v>
      </x:c>
      <x:c r="D5" s="171" t="n">
        <x:f>Assumptions!$E$11*(1+Assumptions!$E$12)^35</x:f>
        <x:v>147911.4197289397</x:v>
      </x:c>
      <x:c r="E5" s="123"/>
      <x:c r="F5" s="123"/>
      <x:c r="G5" s="123"/>
      <x:c r="H5" s="123"/>
      <x:c r="I5" s="123"/>
      <x:c r="J5" s="123"/>
    </x:row>
    <x:row r="6">
      <x:c r="A6" s="127" t="str">
        <x:v>Year 3 revenue</x:v>
      </x:c>
      <x:c r="B6" s="128" t="n">
        <x:f>(Assumptions!$D$11*(1+Assumptions!$D$12)^24)*((1+Assumptions!$D$12)^12-1)/Assumptions!$D$12*(Assumptions!$D$6*Assumptions!$D$9+Assumptions!$D$7*(1-Assumptions!$D$9)+Assumptions!$D$8*Assumptions!$D$10)</x:f>
        <x:v>163501.13274045254</x:v>
      </x:c>
      <x:c r="C6" s="128" t="n">
        <x:f>'Annual Summary'!D7</x:f>
        <x:v>3659292.0994471074</x:v>
      </x:c>
      <x:c r="D6" s="129" t="n">
        <x:f>(Assumptions!$E$11*(1+Assumptions!$E$12)^24)*((1+Assumptions!$E$12)^12-1)/Assumptions!$E$12*(Assumptions!$E$6*Assumptions!$E$9+Assumptions!$E$7*(1-Assumptions!$E$9)+Assumptions!$E$8*Assumptions!$E$10)</x:f>
        <x:v>60436506.93877841</x:v>
      </x:c>
      <x:c r="E6" s="123"/>
      <x:c r="F6" s="123"/>
      <x:c r="G6" s="123"/>
      <x:c r="H6" s="123"/>
      <x:c r="I6" s="123"/>
      <x:c r="J6" s="123"/>
    </x:row>
    <x:row r="7">
      <x:c r="A7" s="127" t="str">
        <x:v>Year 3 EBITDA</x:v>
      </x:c>
      <x:c r="B7" s="128" t="n">
        <x:f>B6*(1-Assumptions!$D$15)-(Assumptions!$D$19*(1+Assumptions!$D$20)^35*12+Assumptions!$D$22*12+Assumptions!$D$21*12+(Assumptions!$D$11*(1+Assumptions!$D$12)^24)*((1+Assumptions!$D$12)^12-1)/Assumptions!$D$12*Assumptions!$D$14)</x:f>
        <x:v>-13099.31746467916</x:v>
      </x:c>
      <x:c r="C7" s="128" t="n">
        <x:f>'Annual Summary'!D12</x:f>
        <x:v>2038001.2192565831</x:v>
      </x:c>
      <x:c r="D7" s="129" t="n">
        <x:f>D6*(1-Assumptions!$E$15)-(Assumptions!$E$19*(1+Assumptions!$E$20)^35*12+Assumptions!$E$22*12+Assumptions!$E$21*12+(Assumptions!$E$11*(1+Assumptions!$E$12)^24)*((1+Assumptions!$E$12)^12-1)/Assumptions!$E$12*Assumptions!$E$14)</x:f>
        <x:v>49998829.34684624</x:v>
      </x:c>
      <x:c r="E7" s="123"/>
      <x:c r="F7" s="123"/>
      <x:c r="G7" s="123"/>
      <x:c r="H7" s="123"/>
      <x:c r="I7" s="123"/>
      <x:c r="J7" s="123"/>
    </x:row>
    <x:row r="8">
      <x:c r="A8" s="127" t="str">
        <x:v>3-year revenue</x:v>
      </x:c>
      <x:c r="B8" s="128" t="n">
        <x:f>Assumptions!$D$11*((1+Assumptions!$D$12)^36-1)/Assumptions!$D$12*(Assumptions!$D$6*Assumptions!$D$9+Assumptions!$D$7*(1-Assumptions!$D$9)+Assumptions!$D$8*Assumptions!$D$10)</x:f>
        <x:v>232197.1826364093</x:v>
      </x:c>
      <x:c r="C8" s="128" t="n">
        <x:f>'Annual Summary'!E7</x:f>
        <x:v>4230319.959817537</x:v>
      </x:c>
      <x:c r="D8" s="129" t="n">
        <x:f>Assumptions!$E$11*((1+Assumptions!$E$12)^36-1)/Assumptions!$E$12*(Assumptions!$E$6*Assumptions!$E$9+Assumptions!$E$7*(1-Assumptions!$E$9)+Assumptions!$E$8*Assumptions!$E$10)</x:f>
        <x:v>64875075.4060723</x:v>
      </x:c>
      <x:c r="E8" s="123"/>
      <x:c r="F8" s="123"/>
      <x:c r="G8" s="123"/>
      <x:c r="H8" s="123"/>
      <x:c r="I8" s="123"/>
      <x:c r="J8" s="123"/>
    </x:row>
    <x:row r="9">
      <x:c r="A9" s="130" t="str">
        <x:v>3-year EBITDA</x:v>
      </x:c>
      <x:c r="B9" s="131" t="n">
        <x:f>B8*(1-Assumptions!$D$15)-(Assumptions!$D$19*36+Assumptions!$D$22*36+Assumptions!$D$21*36)</x:f>
        <x:v>86109.29533095291</x:v>
      </x:c>
      <x:c r="C9" s="131" t="n">
        <x:f>'Annual Summary'!E12</x:f>
        <x:v>2224358.4510897696</x:v>
      </x:c>
      <x:c r="D9" s="132" t="n">
        <x:f>D8*(1-Assumptions!$E$15)-(Assumptions!$E$19*36+Assumptions!$E$22*36+Assumptions!$E$21*36)</x:f>
        <x:v>62662423.143890135</x:v>
      </x:c>
      <x:c r="E9" s="123"/>
      <x:c r="F9" s="123"/>
      <x:c r="G9" s="123"/>
      <x:c r="H9" s="123"/>
      <x:c r="I9" s="123"/>
      <x:c r="J9" s="123"/>
    </x:row>
  </x:sheetData>
  <x:mergeCells>
    <x:mergeCell ref="A1:J1"/>
    <x:mergeCell ref="A2:H2"/>
  </x:mergeCells>
  <x:pageMargins left="0.7" right="0.7" top="0.75" bottom="0.75" header="0.3" footer="0.3"/>
  <x:tableParts count="1">
    <x:tablePart xmlns:r="http://schemas.openxmlformats.org/officeDocument/2006/relationships" r:id="Rca08adfba46946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32.5" hidden="0" customWidth="1"/>
    <x:col min="7" max="7" width="15" hidden="0" customWidth="1"/>
    <x:col min="8" max="8" width="15" hidden="0" customWidth="1"/>
  </x:cols>
  <x:sheetData>
    <x:row r="1" ht="31.5" customHeight="1">
      <x:c r="A1" s="122" t="str">
        <x:v>Model Checks</x:v>
      </x:c>
      <x:c r="B1" s="122" t="str">
        <x:v>Model Checks</x:v>
      </x:c>
      <x:c r="C1" s="122" t="str">
        <x:v>Model Checks</x:v>
      </x:c>
      <x:c r="D1" s="122" t="str">
        <x:v>Model Checks</x:v>
      </x:c>
      <x:c r="E1" s="122" t="str">
        <x:v>Model Checks</x:v>
      </x:c>
      <x:c r="F1" s="122" t="str">
        <x:v>Model Checks</x:v>
      </x:c>
      <x:c r="G1" s="122" t="str">
        <x:v>Model Checks</x:v>
      </x:c>
      <x:c r="H1" s="122" t="str">
        <x:v>Model Checks</x:v>
      </x:c>
    </x:row>
    <x:row r="2">
      <x:c r="A2" s="103" t="str">
        <x:v>Status should be OK before relying on outputs.</x:v>
      </x:c>
      <x:c r="B2" s="123"/>
      <x:c r="C2" s="123"/>
      <x:c r="D2" s="123"/>
      <x:c r="E2" s="123"/>
      <x:c r="F2" s="123"/>
      <x:c r="G2" s="123"/>
      <x:c r="H2" s="123"/>
    </x:row>
    <x:row r="3">
      <x:c r="A3" s="123"/>
      <x:c r="B3" s="123"/>
      <x:c r="C3" s="123"/>
      <x:c r="D3" s="123"/>
      <x:c r="E3" s="123"/>
      <x:c r="F3" s="123"/>
      <x:c r="G3" s="123"/>
      <x:c r="H3" s="123"/>
    </x:row>
    <x:row r="4">
      <x:c r="A4" s="105" t="str">
        <x:v>Check</x:v>
      </x:c>
      <x:c r="B4" s="106" t="str">
        <x:v>Actual</x:v>
      </x:c>
      <x:c r="C4" s="106" t="str">
        <x:v>Expected</x:v>
      </x:c>
      <x:c r="D4" s="106" t="str">
        <x:v>Difference</x:v>
      </x:c>
      <x:c r="E4" s="106" t="str">
        <x:v>Status</x:v>
      </x:c>
      <x:c r="F4" s="107" t="str">
        <x:v>Notes</x:v>
      </x:c>
      <x:c r="G4" s="123"/>
      <x:c r="H4" s="123"/>
    </x:row>
    <x:row r="5">
      <x:c r="A5" s="124" t="str">
        <x:v>Revenue sums to components</x:v>
      </x:c>
      <x:c r="B5" s="125" t="n">
        <x:f>'Annual Summary'!E7</x:f>
        <x:v>4230319.959817537</x:v>
      </x:c>
      <x:c r="C5" s="125" t="n">
        <x:f>SUM('Monthly Model'!D17:AM19)</x:f>
        <x:v>4230319.959817539</x:v>
      </x:c>
      <x:c r="D5" s="125" t="n">
        <x:f>B5-C5</x:f>
        <x:v>-1.862645149230957e-9</x:v>
      </x:c>
      <x:c r="E5" s="163" t="str">
        <x:f>IF(ABS(D5)&lt;1,"OK","Review")</x:f>
        <x:v>OK</x:v>
      </x:c>
      <x:c r="F5" s="164" t="str">
        <x:v>Gross revenue should equal revenue components.</x:v>
      </x:c>
      <x:c r="G5" s="123"/>
      <x:c r="H5" s="123"/>
    </x:row>
    <x:row r="6">
      <x:c r="A6" s="127" t="str">
        <x:v>COGS sums to components</x:v>
      </x:c>
      <x:c r="B6" s="128" t="n">
        <x:f>'Annual Summary'!E8</x:f>
        <x:v>579585.2965436941</x:v>
      </x:c>
      <x:c r="C6" s="128" t="n">
        <x:f>SUM('Monthly Model'!D23:AM25)</x:f>
        <x:v>579585.296543694</x:v>
      </x:c>
      <x:c r="D6" s="128" t="n">
        <x:f>B6-C6</x:f>
        <x:v>1.1641532182693481e-10</x:v>
      </x:c>
      <x:c r="E6" s="158" t="str">
        <x:f>IF(ABS(D6)&lt;1,"OK","Review")</x:f>
        <x:v>OK</x:v>
      </x:c>
      <x:c r="F6" s="165" t="str">
        <x:v>COGS should equal payment, AI, and infra costs.</x:v>
      </x:c>
      <x:c r="G6" s="123"/>
      <x:c r="H6" s="123"/>
    </x:row>
    <x:row r="7">
      <x:c r="A7" s="127" t="str">
        <x:v>Opex sums to components</x:v>
      </x:c>
      <x:c r="B7" s="128" t="n">
        <x:f>'Annual Summary'!E11</x:f>
        <x:v>1426376.2121840734</x:v>
      </x:c>
      <x:c r="C7" s="128" t="n">
        <x:f>SUM('Monthly Model'!D33:AM36)</x:f>
        <x:v>1426376.2121840732</x:v>
      </x:c>
      <x:c r="D7" s="128" t="n">
        <x:f>B7-C7</x:f>
        <x:v>2.3283064365386963e-10</x:v>
      </x:c>
      <x:c r="E7" s="158" t="str">
        <x:f>IF(ABS(D7)&lt;1,"OK","Review")</x:f>
        <x:v>OK</x:v>
      </x:c>
      <x:c r="F7" s="165" t="str">
        <x:v>Opex should equal team, CAC, marketing base, tools/admin.</x:v>
      </x:c>
      <x:c r="G7" s="123"/>
      <x:c r="H7" s="123"/>
    </x:row>
    <x:row r="8">
      <x:c r="A8" s="127" t="str">
        <x:v>Cash roll-forward</x:v>
      </x:c>
      <x:c r="B8" s="128" t="n">
        <x:f>'Annual Summary'!E14</x:f>
        <x:v>2234358.4510897696</x:v>
      </x:c>
      <x:c r="C8" s="128" t="n">
        <x:f>Assumptions!$C$23+'Annual Summary'!E13</x:f>
        <x:v>2234358.4510897696</x:v>
      </x:c>
      <x:c r="D8" s="128" t="n">
        <x:f>B8-C8</x:f>
        <x:v>0</x:v>
      </x:c>
      <x:c r="E8" s="158" t="str">
        <x:f>IF(ABS(D8)&lt;1,"OK","Review")</x:f>
        <x:v>OK</x:v>
      </x:c>
      <x:c r="F8" s="165" t="str">
        <x:v>Ending cash should equal starting cash plus cumulative net income.</x:v>
      </x:c>
      <x:c r="G8" s="123"/>
      <x:c r="H8" s="123"/>
    </x:row>
    <x:row r="9">
      <x:c r="A9" s="127" t="str">
        <x:v>No formula errors in model status</x:v>
      </x:c>
      <x:c r="B9" s="133" t="n">
        <x:f>0</x:f>
        <x:v>0</x:v>
      </x:c>
      <x:c r="C9" s="133" t="n">
        <x:f>0</x:f>
        <x:v>0</x:v>
      </x:c>
      <x:c r="D9" s="133" t="n">
        <x:f>B9-C9</x:f>
        <x:v>0</x:v>
      </x:c>
      <x:c r="E9" s="158" t="str">
        <x:f>IF(B9=0,"OK","Review")</x:f>
        <x:v>OK</x:v>
      </x:c>
      <x:c r="F9" s="165" t="str">
        <x:v>Tool-level workbook scan is also run before export.</x:v>
      </x:c>
      <x:c r="G9" s="123"/>
      <x:c r="H9" s="123"/>
    </x:row>
    <x:row r="10">
      <x:c r="A10" s="130" t="str">
        <x:v>Overall model status</x:v>
      </x:c>
      <x:c r="B10" s="178" t="n">
        <x:f>COUNTIF(E5:E9,"Review")</x:f>
        <x:v>0</x:v>
      </x:c>
      <x:c r="C10" s="178" t="n">
        <x:f>0</x:f>
        <x:v>0</x:v>
      </x:c>
      <x:c r="D10" s="178" t="n">
        <x:f>B10-C10</x:f>
        <x:v>0</x:v>
      </x:c>
      <x:c r="E10" s="162" t="str">
        <x:f>IF(B10=0,"OK","Review")</x:f>
        <x:v>OK</x:v>
      </x:c>
      <x:c r="F10" s="176" t="str">
        <x:v>Dashboard can be used when this says OK.</x:v>
      </x:c>
      <x:c r="G10" s="123"/>
      <x:c r="H10" s="12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c6d21b01c8647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20" hidden="0" customWidth="1"/>
    <x:col min="4" max="4" width="27.5" hidden="0" customWidth="1"/>
    <x:col min="5" max="5" width="37.5" hidden="0" customWidth="1"/>
    <x:col min="6" max="6" width="27.5" hidden="0" customWidth="1"/>
    <x:col min="7" max="7" width="20" hidden="0" customWidth="1"/>
    <x:col min="8" max="8" width="20" hidden="0" customWidth="1"/>
  </x:cols>
  <x:sheetData>
    <x:row r="1" ht="31.5" customHeight="1">
      <x:c r="A1" s="122" t="str">
        <x:v>Sources &amp; Notes</x:v>
      </x:c>
      <x:c r="B1" s="122" t="str">
        <x:v>Sources &amp; Notes</x:v>
      </x:c>
      <x:c r="C1" s="122" t="str">
        <x:v>Sources &amp; Notes</x:v>
      </x:c>
      <x:c r="D1" s="122" t="str">
        <x:v>Sources &amp; Notes</x:v>
      </x:c>
      <x:c r="E1" s="122" t="str">
        <x:v>Sources &amp; Notes</x:v>
      </x:c>
      <x:c r="F1" s="122" t="str">
        <x:v>Sources &amp; Notes</x:v>
      </x:c>
      <x:c r="G1" s="122" t="str">
        <x:v>Sources &amp; Notes</x:v>
      </x:c>
      <x:c r="H1" s="122" t="str">
        <x:v>Sources &amp; Notes</x:v>
      </x:c>
    </x:row>
    <x:row r="2">
      <x:c r="A2" s="103" t="str">
        <x:v>This workbook uses management assumptions and editable placeholders. Replace assumptions with actual pilot data when available.</x:v>
      </x:c>
      <x:c r="B2" s="123"/>
      <x:c r="C2" s="123"/>
      <x:c r="D2" s="123"/>
      <x:c r="E2" s="123"/>
      <x:c r="F2" s="123"/>
      <x:c r="G2" s="123"/>
      <x:c r="H2" s="123"/>
    </x:row>
    <x:row r="3">
      <x:c r="A3" s="123"/>
      <x:c r="B3" s="123"/>
      <x:c r="C3" s="123"/>
      <x:c r="D3" s="123"/>
      <x:c r="E3" s="123"/>
      <x:c r="F3" s="123"/>
      <x:c r="G3" s="123"/>
      <x:c r="H3" s="123"/>
    </x:row>
    <x:row r="4">
      <x:c r="A4" s="105" t="str">
        <x:v>Item</x:v>
      </x:c>
      <x:c r="B4" s="106" t="str">
        <x:v>Value / Area</x:v>
      </x:c>
      <x:c r="C4" s="106" t="str">
        <x:v>Units</x:v>
      </x:c>
      <x:c r="D4" s="106" t="str">
        <x:v>Source Type</x:v>
      </x:c>
      <x:c r="E4" s="106" t="str">
        <x:v>Notes</x:v>
      </x:c>
      <x:c r="F4" s="107" t="str">
        <x:v>Owner</x:v>
      </x:c>
      <x:c r="G4" s="123"/>
      <x:c r="H4" s="123"/>
    </x:row>
    <x:row r="5">
      <x:c r="A5" s="124" t="str">
        <x:v>Product model</x:v>
      </x:c>
      <x:c r="B5" s="163" t="str">
        <x:v>Intern-paid B2C</x:v>
      </x:c>
      <x:c r="C5" s="163" t="str">
        <x:v>n/a</x:v>
      </x:c>
      <x:c r="D5" s="163" t="str">
        <x:v>Project docs</x:v>
      </x:c>
      <x:c r="E5" s="163" t="str">
        <x:v>AIntern project plan: intern owns account and supervisor uses token links.</x:v>
      </x:c>
      <x:c r="F5" s="164" t="str">
        <x:v>Effort Studio</x:v>
      </x:c>
      <x:c r="G5" s="123"/>
      <x:c r="H5" s="123"/>
    </x:row>
    <x:row r="6">
      <x:c r="A6" s="127" t="str">
        <x:v>Pricing</x:v>
      </x:c>
      <x:c r="B6" s="158" t="str">
        <x:v>3M / 6M pass + AI upgrade</x:v>
      </x:c>
      <x:c r="C6" s="158" t="str">
        <x:v>MYR</x:v>
      </x:c>
      <x:c r="D6" s="158" t="str">
        <x:v>Management assumption</x:v>
      </x:c>
      <x:c r="E6" s="158" t="str">
        <x:v>Editable, to validate during pilot.</x:v>
      </x:c>
      <x:c r="F6" s="165" t="str">
        <x:v>Effort Studio</x:v>
      </x:c>
      <x:c r="G6" s="123"/>
      <x:c r="H6" s="123"/>
    </x:row>
    <x:row r="7">
      <x:c r="A7" s="127" t="str">
        <x:v>COGS</x:v>
      </x:c>
      <x:c r="B7" s="158" t="str">
        <x:v>Payment, AI, infrastructure</x:v>
      </x:c>
      <x:c r="C7" s="158" t="str">
        <x:v>MYR / %</x:v>
      </x:c>
      <x:c r="D7" s="158" t="str">
        <x:v>Management assumption</x:v>
      </x:c>
      <x:c r="E7" s="158" t="str">
        <x:v>Provider fees and AI usage should be updated after pilot telemetry.</x:v>
      </x:c>
      <x:c r="F7" s="165" t="str">
        <x:v>Effort Studio</x:v>
      </x:c>
      <x:c r="G7" s="123"/>
      <x:c r="H7" s="123"/>
    </x:row>
    <x:row r="8">
      <x:c r="A8" s="127" t="str">
        <x:v>Growth</x:v>
      </x:c>
      <x:c r="B8" s="158" t="str">
        <x:v>Paid users and CAC</x:v>
      </x:c>
      <x:c r="C8" s="158" t="str">
        <x:v>users / MYR</x:v>
      </x:c>
      <x:c r="D8" s="158" t="str">
        <x:v>Management assumption</x:v>
      </x:c>
      <x:c r="E8" s="158" t="str">
        <x:v>Start with campus pilot and referral/content assumptions.</x:v>
      </x:c>
      <x:c r="F8" s="165" t="str">
        <x:v>Effort Studio</x:v>
      </x:c>
      <x:c r="G8" s="123"/>
      <x:c r="H8" s="123"/>
    </x:row>
    <x:row r="9">
      <x:c r="A9" s="127" t="str">
        <x:v>Tax</x:v>
      </x:c>
      <x:c r="B9" s="158" t="str">
        <x:v>0% in base</x:v>
      </x:c>
      <x:c r="C9" s="158" t="str">
        <x:v>%</x:v>
      </x:c>
      <x:c r="D9" s="158" t="str">
        <x:v>Simplification</x:v>
      </x:c>
      <x:c r="E9" s="158" t="str">
        <x:v>Set once entity/tax treatment is confirmed.</x:v>
      </x:c>
      <x:c r="F9" s="165" t="str">
        <x:v>Finance</x:v>
      </x:c>
      <x:c r="G9" s="123"/>
      <x:c r="H9" s="123"/>
    </x:row>
    <x:row r="10">
      <x:c r="A10" s="127" t="str">
        <x:v>Currency</x:v>
      </x:c>
      <x:c r="B10" s="158" t="str">
        <x:v>MYR</x:v>
      </x:c>
      <x:c r="C10" s="158" t="str">
        <x:v>MYR</x:v>
      </x:c>
      <x:c r="D10" s="158" t="str">
        <x:v>User request</x:v>
      </x:c>
      <x:c r="E10" s="158" t="str">
        <x:v>All money amounts are in Malaysian Ringgit.</x:v>
      </x:c>
      <x:c r="F10" s="165" t="str">
        <x:v>Effort Studio</x:v>
      </x:c>
      <x:c r="G10" s="123"/>
      <x:c r="H10" s="123"/>
    </x:row>
    <x:row r="11">
      <x:c r="A11" s="127" t="str">
        <x:v>Model date</x:v>
      </x:c>
      <x:c r="B11" s="158" t="str">
        <x:v>28 July 2026</x:v>
      </x:c>
      <x:c r="C11" s="158" t="str">
        <x:v>date</x:v>
      </x:c>
      <x:c r="D11" s="158" t="str">
        <x:v>System date</x:v>
      </x:c>
      <x:c r="E11" s="158" t="str">
        <x:v>Prepared during Report Center pilot phase.</x:v>
      </x:c>
      <x:c r="F11" s="165" t="str">
        <x:v>Codex</x:v>
      </x:c>
      <x:c r="G11" s="123"/>
      <x:c r="H11" s="123"/>
    </x:row>
    <x:row r="12">
      <x:c r="A12" s="130" t="str">
        <x:v>Security note</x:v>
      </x:c>
      <x:c r="B12" s="162" t="str">
        <x:v>No secrets included</x:v>
      </x:c>
      <x:c r="C12" s="162" t="str">
        <x:v>n/a</x:v>
      </x:c>
      <x:c r="D12" s="162" t="str">
        <x:v>Operating rule</x:v>
      </x:c>
      <x:c r="E12" s="162" t="str">
        <x:v>Do not store API keys, tokens, or passwords in workbook.</x:v>
      </x:c>
      <x:c r="F12" s="176" t="str">
        <x:v>All users</x:v>
      </x:c>
      <x:c r="G12" s="123"/>
      <x:c r="H12" s="12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a295ded37b04569"/>
  </x:tableParts>
</x:worksheet>
</file>
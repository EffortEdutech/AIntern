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00 aWL_platform\AIntern\docs\"/>
    </mc:Choice>
  </mc:AlternateContent>
  <xr:revisionPtr revIDLastSave="0" documentId="8_{C4BD62FC-1E64-4576-949D-B97BFBD7EF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1" r:id="rId1"/>
    <sheet name="Assumptions" sheetId="2" r:id="rId2"/>
    <sheet name="Monthly Model" sheetId="3" r:id="rId3"/>
    <sheet name="Annual Summary" sheetId="4" r:id="rId4"/>
    <sheet name="Unit Economics" sheetId="5" r:id="rId5"/>
    <sheet name="Scenarios" sheetId="6" r:id="rId6"/>
    <sheet name="Checks" sheetId="7" r:id="rId7"/>
    <sheet name="Sources &amp; Notes" sheetId="8" r:id="rId8"/>
  </sheets>
  <calcPr calcId="191029"/>
</workbook>
</file>

<file path=xl/calcChain.xml><?xml version="1.0" encoding="utf-8"?>
<calcChain xmlns="http://schemas.openxmlformats.org/spreadsheetml/2006/main">
  <c r="C10" i="7" l="1"/>
  <c r="C9" i="7"/>
  <c r="B9" i="7"/>
  <c r="E9" i="7" s="1"/>
  <c r="D8" i="6"/>
  <c r="D9" i="6" s="1"/>
  <c r="H7" i="1" s="1"/>
  <c r="B8" i="6"/>
  <c r="B9" i="6" s="1"/>
  <c r="D7" i="6"/>
  <c r="D6" i="6"/>
  <c r="B6" i="6"/>
  <c r="B7" i="6" s="1"/>
  <c r="D5" i="6"/>
  <c r="B5" i="6"/>
  <c r="C11" i="5"/>
  <c r="C9" i="5"/>
  <c r="C6" i="5"/>
  <c r="C7" i="5" s="1"/>
  <c r="C5" i="5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D34" i="3"/>
  <c r="D33" i="3"/>
  <c r="D37" i="3" s="1"/>
  <c r="D24" i="3"/>
  <c r="D14" i="3"/>
  <c r="D19" i="3" s="1"/>
  <c r="D13" i="3"/>
  <c r="D18" i="3" s="1"/>
  <c r="D12" i="3"/>
  <c r="D17" i="3" s="1"/>
  <c r="D9" i="3"/>
  <c r="D25" i="3" s="1"/>
  <c r="D8" i="3"/>
  <c r="D7" i="3"/>
  <c r="E7" i="3" s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G7" i="1"/>
  <c r="F7" i="1"/>
  <c r="F6" i="1"/>
  <c r="H5" i="1"/>
  <c r="G5" i="1"/>
  <c r="F5" i="1"/>
  <c r="C8" i="5" l="1"/>
  <c r="C10" i="5" s="1"/>
  <c r="D20" i="3"/>
  <c r="E8" i="3"/>
  <c r="E9" i="3" s="1"/>
  <c r="F7" i="3"/>
  <c r="E13" i="3"/>
  <c r="E18" i="3" s="1"/>
  <c r="E14" i="3"/>
  <c r="E12" i="3"/>
  <c r="E17" i="3" s="1"/>
  <c r="E34" i="3"/>
  <c r="E33" i="3"/>
  <c r="D9" i="7"/>
  <c r="E25" i="3" l="1"/>
  <c r="F8" i="3"/>
  <c r="F9" i="3" s="1"/>
  <c r="C12" i="5"/>
  <c r="C13" i="5"/>
  <c r="F14" i="3"/>
  <c r="F13" i="3"/>
  <c r="F18" i="3" s="1"/>
  <c r="F12" i="3"/>
  <c r="F17" i="3" s="1"/>
  <c r="F34" i="3"/>
  <c r="G7" i="3"/>
  <c r="D23" i="3"/>
  <c r="B13" i="1"/>
  <c r="E19" i="3"/>
  <c r="E20" i="3" s="1"/>
  <c r="E24" i="3"/>
  <c r="E37" i="3"/>
  <c r="F33" i="3"/>
  <c r="B14" i="1" l="1"/>
  <c r="E23" i="3"/>
  <c r="E26" i="3" s="1"/>
  <c r="E29" i="3" s="1"/>
  <c r="F25" i="3"/>
  <c r="G8" i="3"/>
  <c r="G9" i="3" s="1"/>
  <c r="D26" i="3"/>
  <c r="F20" i="3"/>
  <c r="F37" i="3"/>
  <c r="G33" i="3"/>
  <c r="G12" i="3"/>
  <c r="G17" i="3" s="1"/>
  <c r="G14" i="3"/>
  <c r="G34" i="3"/>
  <c r="G13" i="3"/>
  <c r="G18" i="3" s="1"/>
  <c r="H7" i="3"/>
  <c r="F19" i="3"/>
  <c r="F24" i="3"/>
  <c r="H8" i="3" l="1"/>
  <c r="G25" i="3"/>
  <c r="H9" i="3"/>
  <c r="E40" i="3"/>
  <c r="E30" i="3"/>
  <c r="B15" i="1"/>
  <c r="F23" i="3"/>
  <c r="G19" i="3"/>
  <c r="G20" i="3" s="1"/>
  <c r="G24" i="3"/>
  <c r="G37" i="3"/>
  <c r="H33" i="3"/>
  <c r="H12" i="3"/>
  <c r="H17" i="3" s="1"/>
  <c r="H13" i="3"/>
  <c r="H18" i="3" s="1"/>
  <c r="H14" i="3"/>
  <c r="H34" i="3"/>
  <c r="I7" i="3"/>
  <c r="D29" i="3"/>
  <c r="G23" i="3" l="1"/>
  <c r="G26" i="3" s="1"/>
  <c r="G29" i="3" s="1"/>
  <c r="B16" i="1"/>
  <c r="H37" i="3"/>
  <c r="I33" i="3"/>
  <c r="H19" i="3"/>
  <c r="H24" i="3"/>
  <c r="F26" i="3"/>
  <c r="D40" i="3"/>
  <c r="D30" i="3"/>
  <c r="E41" i="3"/>
  <c r="E42" i="3" s="1"/>
  <c r="C14" i="1"/>
  <c r="I8" i="3"/>
  <c r="H25" i="3"/>
  <c r="I9" i="3"/>
  <c r="J7" i="3"/>
  <c r="I14" i="3"/>
  <c r="I34" i="3"/>
  <c r="I13" i="3"/>
  <c r="I18" i="3" s="1"/>
  <c r="I12" i="3"/>
  <c r="I17" i="3" s="1"/>
  <c r="H20" i="3"/>
  <c r="G40" i="3" l="1"/>
  <c r="G30" i="3"/>
  <c r="H23" i="3"/>
  <c r="B17" i="1"/>
  <c r="D41" i="3"/>
  <c r="D42" i="3"/>
  <c r="C13" i="1"/>
  <c r="I24" i="3"/>
  <c r="I19" i="3"/>
  <c r="I20" i="3" s="1"/>
  <c r="J34" i="3"/>
  <c r="J14" i="3"/>
  <c r="K7" i="3"/>
  <c r="J13" i="3"/>
  <c r="J18" i="3" s="1"/>
  <c r="J12" i="3"/>
  <c r="J17" i="3" s="1"/>
  <c r="J8" i="3"/>
  <c r="J9" i="3" s="1"/>
  <c r="I25" i="3"/>
  <c r="F29" i="3"/>
  <c r="J33" i="3"/>
  <c r="I37" i="3"/>
  <c r="I23" i="3" l="1"/>
  <c r="I26" i="3" s="1"/>
  <c r="I29" i="3"/>
  <c r="B18" i="1"/>
  <c r="K8" i="3"/>
  <c r="J25" i="3"/>
  <c r="K9" i="3"/>
  <c r="K34" i="3"/>
  <c r="K14" i="3"/>
  <c r="L7" i="3"/>
  <c r="K13" i="3"/>
  <c r="K18" i="3" s="1"/>
  <c r="K12" i="3"/>
  <c r="K17" i="3" s="1"/>
  <c r="J24" i="3"/>
  <c r="J19" i="3"/>
  <c r="J20" i="3" s="1"/>
  <c r="K33" i="3"/>
  <c r="J37" i="3"/>
  <c r="D43" i="3"/>
  <c r="E43" i="3" s="1"/>
  <c r="F40" i="3"/>
  <c r="F30" i="3"/>
  <c r="H26" i="3"/>
  <c r="G41" i="3"/>
  <c r="G42" i="3" s="1"/>
  <c r="C16" i="1"/>
  <c r="B19" i="1" l="1"/>
  <c r="J23" i="3"/>
  <c r="L14" i="3"/>
  <c r="L13" i="3"/>
  <c r="L18" i="3" s="1"/>
  <c r="M7" i="3"/>
  <c r="L34" i="3"/>
  <c r="L12" i="3"/>
  <c r="L17" i="3" s="1"/>
  <c r="H29" i="3"/>
  <c r="K20" i="3"/>
  <c r="I30" i="3"/>
  <c r="I40" i="3"/>
  <c r="L33" i="3"/>
  <c r="K37" i="3"/>
  <c r="K24" i="3"/>
  <c r="K19" i="3"/>
  <c r="K25" i="3"/>
  <c r="L8" i="3"/>
  <c r="L9" i="3" s="1"/>
  <c r="F41" i="3"/>
  <c r="C15" i="1"/>
  <c r="F42" i="3"/>
  <c r="F43" i="3"/>
  <c r="G43" i="3" s="1"/>
  <c r="M8" i="3" l="1"/>
  <c r="L25" i="3"/>
  <c r="M9" i="3"/>
  <c r="B20" i="1"/>
  <c r="K23" i="3"/>
  <c r="K26" i="3" s="1"/>
  <c r="K29" i="3" s="1"/>
  <c r="I41" i="3"/>
  <c r="I42" i="3" s="1"/>
  <c r="C18" i="1"/>
  <c r="L20" i="3"/>
  <c r="M33" i="3"/>
  <c r="L37" i="3"/>
  <c r="H40" i="3"/>
  <c r="H30" i="3"/>
  <c r="M14" i="3"/>
  <c r="M13" i="3"/>
  <c r="M18" i="3" s="1"/>
  <c r="M34" i="3"/>
  <c r="M12" i="3"/>
  <c r="M17" i="3" s="1"/>
  <c r="N7" i="3"/>
  <c r="L19" i="3"/>
  <c r="L24" i="3"/>
  <c r="J26" i="3"/>
  <c r="K40" i="3" l="1"/>
  <c r="K30" i="3"/>
  <c r="N33" i="3"/>
  <c r="M37" i="3"/>
  <c r="B21" i="1"/>
  <c r="L23" i="3"/>
  <c r="M20" i="3"/>
  <c r="H41" i="3"/>
  <c r="H42" i="3" s="1"/>
  <c r="C17" i="1"/>
  <c r="J29" i="3"/>
  <c r="O7" i="3"/>
  <c r="N14" i="3"/>
  <c r="N13" i="3"/>
  <c r="N18" i="3" s="1"/>
  <c r="N34" i="3"/>
  <c r="N12" i="3"/>
  <c r="N17" i="3" s="1"/>
  <c r="M25" i="3"/>
  <c r="N8" i="3"/>
  <c r="N9" i="3" s="1"/>
  <c r="M24" i="3"/>
  <c r="M19" i="3"/>
  <c r="H43" i="3" l="1"/>
  <c r="I43" i="3" s="1"/>
  <c r="N25" i="3"/>
  <c r="O8" i="3"/>
  <c r="O9" i="3" s="1"/>
  <c r="O13" i="3"/>
  <c r="O18" i="3" s="1"/>
  <c r="O34" i="3"/>
  <c r="O12" i="3"/>
  <c r="O17" i="3" s="1"/>
  <c r="P7" i="3"/>
  <c r="O14" i="3"/>
  <c r="B5" i="4"/>
  <c r="M23" i="3"/>
  <c r="M26" i="3" s="1"/>
  <c r="M29" i="3" s="1"/>
  <c r="B22" i="1"/>
  <c r="N24" i="3"/>
  <c r="N19" i="3"/>
  <c r="N20" i="3" s="1"/>
  <c r="J40" i="3"/>
  <c r="J30" i="3"/>
  <c r="L26" i="3"/>
  <c r="O33" i="3"/>
  <c r="N37" i="3"/>
  <c r="C20" i="1"/>
  <c r="K41" i="3"/>
  <c r="K42" i="3" s="1"/>
  <c r="N23" i="3" l="1"/>
  <c r="N26" i="3" s="1"/>
  <c r="N29" i="3" s="1"/>
  <c r="B23" i="1"/>
  <c r="O25" i="3"/>
  <c r="B6" i="4"/>
  <c r="B8" i="1" s="1"/>
  <c r="P9" i="3"/>
  <c r="P8" i="3"/>
  <c r="M30" i="3"/>
  <c r="M40" i="3"/>
  <c r="O37" i="3"/>
  <c r="B11" i="4" s="1"/>
  <c r="P33" i="3"/>
  <c r="O19" i="3"/>
  <c r="O20" i="3" s="1"/>
  <c r="O24" i="3"/>
  <c r="P13" i="3"/>
  <c r="P18" i="3" s="1"/>
  <c r="P34" i="3"/>
  <c r="P12" i="3"/>
  <c r="P17" i="3" s="1"/>
  <c r="Q7" i="3"/>
  <c r="P14" i="3"/>
  <c r="L29" i="3"/>
  <c r="J41" i="3"/>
  <c r="J42" i="3" s="1"/>
  <c r="C19" i="1"/>
  <c r="B24" i="1" l="1"/>
  <c r="O23" i="3"/>
  <c r="O26" i="3" s="1"/>
  <c r="B8" i="4" s="1"/>
  <c r="B7" i="4"/>
  <c r="J43" i="3"/>
  <c r="K43" i="3" s="1"/>
  <c r="N30" i="3"/>
  <c r="N40" i="3"/>
  <c r="Q33" i="3"/>
  <c r="P37" i="3"/>
  <c r="P25" i="3"/>
  <c r="Q9" i="3"/>
  <c r="Q8" i="3"/>
  <c r="L30" i="3"/>
  <c r="L40" i="3"/>
  <c r="P24" i="3"/>
  <c r="P19" i="3"/>
  <c r="Q34" i="3"/>
  <c r="Q12" i="3"/>
  <c r="Q17" i="3" s="1"/>
  <c r="R7" i="3"/>
  <c r="Q13" i="3"/>
  <c r="Q18" i="3" s="1"/>
  <c r="Q14" i="3"/>
  <c r="M41" i="3"/>
  <c r="M42" i="3" s="1"/>
  <c r="C22" i="1"/>
  <c r="P20" i="3"/>
  <c r="Q24" i="3" l="1"/>
  <c r="Q19" i="3"/>
  <c r="B5" i="1"/>
  <c r="Q25" i="3"/>
  <c r="R9" i="3"/>
  <c r="R8" i="3"/>
  <c r="C23" i="1"/>
  <c r="N41" i="3"/>
  <c r="N42" i="3" s="1"/>
  <c r="C21" i="1"/>
  <c r="L41" i="3"/>
  <c r="L42" i="3" s="1"/>
  <c r="L43" i="3" s="1"/>
  <c r="M43" i="3" s="1"/>
  <c r="N43" i="3" s="1"/>
  <c r="P23" i="3"/>
  <c r="P26" i="3" s="1"/>
  <c r="B25" i="1"/>
  <c r="R33" i="3"/>
  <c r="Q37" i="3"/>
  <c r="R34" i="3"/>
  <c r="R14" i="3"/>
  <c r="S7" i="3"/>
  <c r="R12" i="3"/>
  <c r="R17" i="3" s="1"/>
  <c r="R13" i="3"/>
  <c r="R18" i="3" s="1"/>
  <c r="Q20" i="3"/>
  <c r="O29" i="3"/>
  <c r="O30" i="3" l="1"/>
  <c r="O40" i="3"/>
  <c r="B9" i="4"/>
  <c r="R25" i="3"/>
  <c r="S8" i="3"/>
  <c r="S9" i="3" s="1"/>
  <c r="B26" i="1"/>
  <c r="Q23" i="3"/>
  <c r="Q26" i="3" s="1"/>
  <c r="R20" i="3"/>
  <c r="S12" i="3"/>
  <c r="S17" i="3" s="1"/>
  <c r="T7" i="3"/>
  <c r="S14" i="3"/>
  <c r="S34" i="3"/>
  <c r="S13" i="3"/>
  <c r="S18" i="3" s="1"/>
  <c r="R24" i="3"/>
  <c r="R19" i="3"/>
  <c r="P29" i="3"/>
  <c r="R37" i="3"/>
  <c r="S33" i="3"/>
  <c r="T8" i="3" l="1"/>
  <c r="T9" i="3" s="1"/>
  <c r="S25" i="3"/>
  <c r="U7" i="3"/>
  <c r="T14" i="3"/>
  <c r="T13" i="3"/>
  <c r="T18" i="3" s="1"/>
  <c r="T34" i="3"/>
  <c r="T12" i="3"/>
  <c r="T17" i="3" s="1"/>
  <c r="S24" i="3"/>
  <c r="S19" i="3"/>
  <c r="S20" i="3" s="1"/>
  <c r="Q29" i="3"/>
  <c r="P40" i="3"/>
  <c r="P30" i="3"/>
  <c r="B27" i="1"/>
  <c r="R23" i="3"/>
  <c r="R26" i="3" s="1"/>
  <c r="R29" i="3" s="1"/>
  <c r="S37" i="3"/>
  <c r="T33" i="3"/>
  <c r="B10" i="4"/>
  <c r="B9" i="1" s="1"/>
  <c r="C24" i="1"/>
  <c r="O41" i="3"/>
  <c r="O42" i="3" s="1"/>
  <c r="B12" i="4"/>
  <c r="R30" i="3" l="1"/>
  <c r="R40" i="3"/>
  <c r="S23" i="3"/>
  <c r="S26" i="3" s="1"/>
  <c r="B28" i="1"/>
  <c r="B13" i="4"/>
  <c r="O43" i="3"/>
  <c r="U8" i="3"/>
  <c r="T25" i="3"/>
  <c r="U9" i="3"/>
  <c r="U33" i="3"/>
  <c r="T37" i="3"/>
  <c r="V7" i="3"/>
  <c r="U34" i="3"/>
  <c r="U13" i="3"/>
  <c r="U18" i="3" s="1"/>
  <c r="U14" i="3"/>
  <c r="U12" i="3"/>
  <c r="U17" i="3" s="1"/>
  <c r="Q40" i="3"/>
  <c r="Q30" i="3"/>
  <c r="T24" i="3"/>
  <c r="T19" i="3"/>
  <c r="T20" i="3" s="1"/>
  <c r="B6" i="1"/>
  <c r="C25" i="1"/>
  <c r="P41" i="3"/>
  <c r="P42" i="3" s="1"/>
  <c r="T23" i="3" l="1"/>
  <c r="T26" i="3" s="1"/>
  <c r="B29" i="1"/>
  <c r="T29" i="3"/>
  <c r="P43" i="3"/>
  <c r="B14" i="4"/>
  <c r="B7" i="1" s="1"/>
  <c r="W7" i="3"/>
  <c r="V34" i="3"/>
  <c r="V13" i="3"/>
  <c r="V18" i="3" s="1"/>
  <c r="V14" i="3"/>
  <c r="V12" i="3"/>
  <c r="V17" i="3" s="1"/>
  <c r="U25" i="3"/>
  <c r="V9" i="3"/>
  <c r="V8" i="3"/>
  <c r="U19" i="3"/>
  <c r="U20" i="3" s="1"/>
  <c r="U24" i="3"/>
  <c r="R41" i="3"/>
  <c r="R42" i="3" s="1"/>
  <c r="C27" i="1"/>
  <c r="U37" i="3"/>
  <c r="V33" i="3"/>
  <c r="C26" i="1"/>
  <c r="Q41" i="3"/>
  <c r="Q42" i="3" s="1"/>
  <c r="S29" i="3"/>
  <c r="U23" i="3" l="1"/>
  <c r="U26" i="3" s="1"/>
  <c r="B30" i="1"/>
  <c r="U29" i="3"/>
  <c r="W12" i="3"/>
  <c r="W17" i="3" s="1"/>
  <c r="W14" i="3"/>
  <c r="W13" i="3"/>
  <c r="W18" i="3" s="1"/>
  <c r="W34" i="3"/>
  <c r="X7" i="3"/>
  <c r="T40" i="3"/>
  <c r="T30" i="3"/>
  <c r="V19" i="3"/>
  <c r="V20" i="3" s="1"/>
  <c r="V24" i="3"/>
  <c r="Q43" i="3"/>
  <c r="R43" i="3" s="1"/>
  <c r="S30" i="3"/>
  <c r="S40" i="3"/>
  <c r="V37" i="3"/>
  <c r="W33" i="3"/>
  <c r="V25" i="3"/>
  <c r="W8" i="3"/>
  <c r="W9" i="3" s="1"/>
  <c r="B31" i="1" l="1"/>
  <c r="V23" i="3"/>
  <c r="V26" i="3" s="1"/>
  <c r="V29" i="3" s="1"/>
  <c r="W25" i="3"/>
  <c r="X8" i="3"/>
  <c r="X9" i="3" s="1"/>
  <c r="C29" i="1"/>
  <c r="T41" i="3"/>
  <c r="T42" i="3" s="1"/>
  <c r="W20" i="3"/>
  <c r="S41" i="3"/>
  <c r="S42" i="3" s="1"/>
  <c r="C28" i="1"/>
  <c r="X14" i="3"/>
  <c r="X13" i="3"/>
  <c r="X18" i="3" s="1"/>
  <c r="X34" i="3"/>
  <c r="X12" i="3"/>
  <c r="X17" i="3" s="1"/>
  <c r="Y7" i="3"/>
  <c r="W19" i="3"/>
  <c r="W24" i="3"/>
  <c r="W37" i="3"/>
  <c r="X33" i="3"/>
  <c r="U40" i="3"/>
  <c r="U30" i="3"/>
  <c r="S43" i="3" l="1"/>
  <c r="T43" i="3" s="1"/>
  <c r="Y8" i="3"/>
  <c r="Y9" i="3"/>
  <c r="X25" i="3"/>
  <c r="V40" i="3"/>
  <c r="V30" i="3"/>
  <c r="X19" i="3"/>
  <c r="X20" i="3" s="1"/>
  <c r="X24" i="3"/>
  <c r="W23" i="3"/>
  <c r="W26" i="3" s="1"/>
  <c r="W29" i="3" s="1"/>
  <c r="B32" i="1"/>
  <c r="Y13" i="3"/>
  <c r="Y18" i="3" s="1"/>
  <c r="Y14" i="3"/>
  <c r="Y34" i="3"/>
  <c r="Y12" i="3"/>
  <c r="Y17" i="3" s="1"/>
  <c r="Z7" i="3"/>
  <c r="U41" i="3"/>
  <c r="U42" i="3" s="1"/>
  <c r="C30" i="1"/>
  <c r="X37" i="3"/>
  <c r="Y33" i="3"/>
  <c r="W40" i="3" l="1"/>
  <c r="W30" i="3"/>
  <c r="B33" i="1"/>
  <c r="X23" i="3"/>
  <c r="X26" i="3" s="1"/>
  <c r="X29" i="3" s="1"/>
  <c r="V41" i="3"/>
  <c r="C31" i="1"/>
  <c r="V42" i="3"/>
  <c r="Z8" i="3"/>
  <c r="Z9" i="3" s="1"/>
  <c r="Y25" i="3"/>
  <c r="Y19" i="3"/>
  <c r="Y20" i="3" s="1"/>
  <c r="Y24" i="3"/>
  <c r="Y37" i="3"/>
  <c r="Z33" i="3"/>
  <c r="Z34" i="3"/>
  <c r="AA7" i="3"/>
  <c r="Z14" i="3"/>
  <c r="Z13" i="3"/>
  <c r="Z18" i="3" s="1"/>
  <c r="Z12" i="3"/>
  <c r="Z17" i="3" s="1"/>
  <c r="U43" i="3"/>
  <c r="Y29" i="3" l="1"/>
  <c r="B34" i="1"/>
  <c r="Y23" i="3"/>
  <c r="Y26" i="3" s="1"/>
  <c r="AA8" i="3"/>
  <c r="AA9" i="3"/>
  <c r="Z25" i="3"/>
  <c r="X40" i="3"/>
  <c r="X30" i="3"/>
  <c r="Z37" i="3"/>
  <c r="AA33" i="3"/>
  <c r="V43" i="3"/>
  <c r="W43" i="3" s="1"/>
  <c r="Z24" i="3"/>
  <c r="Z19" i="3"/>
  <c r="Z20" i="3" s="1"/>
  <c r="AA34" i="3"/>
  <c r="AA14" i="3"/>
  <c r="AB7" i="3"/>
  <c r="AA13" i="3"/>
  <c r="AA18" i="3" s="1"/>
  <c r="AA12" i="3"/>
  <c r="AA17" i="3" s="1"/>
  <c r="C5" i="4"/>
  <c r="W41" i="3"/>
  <c r="C32" i="1"/>
  <c r="W42" i="3"/>
  <c r="B35" i="1" l="1"/>
  <c r="Z23" i="3"/>
  <c r="Z26" i="3" s="1"/>
  <c r="Z29" i="3" s="1"/>
  <c r="C6" i="4"/>
  <c r="C8" i="1" s="1"/>
  <c r="AA25" i="3"/>
  <c r="AB8" i="3"/>
  <c r="AB9" i="3" s="1"/>
  <c r="AA20" i="3"/>
  <c r="AB33" i="3"/>
  <c r="AA37" i="3"/>
  <c r="C11" i="4" s="1"/>
  <c r="X41" i="3"/>
  <c r="X42" i="3" s="1"/>
  <c r="X43" i="3" s="1"/>
  <c r="C33" i="1"/>
  <c r="AA24" i="3"/>
  <c r="AA19" i="3"/>
  <c r="AB14" i="3"/>
  <c r="AB13" i="3"/>
  <c r="AB18" i="3" s="1"/>
  <c r="AB12" i="3"/>
  <c r="AB17" i="3" s="1"/>
  <c r="AB34" i="3"/>
  <c r="AC7" i="3"/>
  <c r="Y40" i="3"/>
  <c r="Y30" i="3"/>
  <c r="AC8" i="3" l="1"/>
  <c r="AC9" i="3" s="1"/>
  <c r="AB25" i="3"/>
  <c r="Z40" i="3"/>
  <c r="Z30" i="3"/>
  <c r="B36" i="1"/>
  <c r="AA23" i="3"/>
  <c r="AA26" i="3" s="1"/>
  <c r="C8" i="4" s="1"/>
  <c r="C7" i="4"/>
  <c r="Y41" i="3"/>
  <c r="Y42" i="3" s="1"/>
  <c r="Y43" i="3" s="1"/>
  <c r="C34" i="1"/>
  <c r="AC14" i="3"/>
  <c r="AC13" i="3"/>
  <c r="AC18" i="3" s="1"/>
  <c r="AD7" i="3"/>
  <c r="AC12" i="3"/>
  <c r="AC17" i="3" s="1"/>
  <c r="AC34" i="3"/>
  <c r="AB24" i="3"/>
  <c r="AB19" i="3"/>
  <c r="AC33" i="3"/>
  <c r="AB37" i="3"/>
  <c r="AB20" i="3"/>
  <c r="AC25" i="3" l="1"/>
  <c r="AD8" i="3"/>
  <c r="AD9" i="3" s="1"/>
  <c r="AC24" i="3"/>
  <c r="AC19" i="3"/>
  <c r="AC20" i="3" s="1"/>
  <c r="C5" i="1"/>
  <c r="B37" i="1"/>
  <c r="AB23" i="3"/>
  <c r="AB26" i="3" s="1"/>
  <c r="AA29" i="3"/>
  <c r="AD33" i="3"/>
  <c r="AC37" i="3"/>
  <c r="Z41" i="3"/>
  <c r="Z42" i="3" s="1"/>
  <c r="Z43" i="3" s="1"/>
  <c r="C35" i="1"/>
  <c r="AE7" i="3"/>
  <c r="AD14" i="3"/>
  <c r="AD13" i="3"/>
  <c r="AD18" i="3" s="1"/>
  <c r="AD12" i="3"/>
  <c r="AD17" i="3" s="1"/>
  <c r="AD34" i="3"/>
  <c r="B38" i="1" l="1"/>
  <c r="AC23" i="3"/>
  <c r="AC26" i="3" s="1"/>
  <c r="AC29" i="3" s="1"/>
  <c r="AD25" i="3"/>
  <c r="AE8" i="3"/>
  <c r="AE9" i="3" s="1"/>
  <c r="AE33" i="3"/>
  <c r="AD37" i="3"/>
  <c r="AB29" i="3"/>
  <c r="AD24" i="3"/>
  <c r="AD19" i="3"/>
  <c r="AD20" i="3" s="1"/>
  <c r="AE13" i="3"/>
  <c r="AE18" i="3" s="1"/>
  <c r="AE14" i="3"/>
  <c r="AE12" i="3"/>
  <c r="AE17" i="3" s="1"/>
  <c r="AE34" i="3"/>
  <c r="AF7" i="3"/>
  <c r="AA40" i="3"/>
  <c r="AA30" i="3"/>
  <c r="C9" i="4"/>
  <c r="AE25" i="3" l="1"/>
  <c r="AF8" i="3"/>
  <c r="AF9" i="3" s="1"/>
  <c r="AD23" i="3"/>
  <c r="AD26" i="3" s="1"/>
  <c r="AD29" i="3" s="1"/>
  <c r="B39" i="1"/>
  <c r="AC30" i="3"/>
  <c r="AC40" i="3"/>
  <c r="AE19" i="3"/>
  <c r="AE24" i="3"/>
  <c r="AB40" i="3"/>
  <c r="AB30" i="3"/>
  <c r="AE37" i="3"/>
  <c r="AF33" i="3"/>
  <c r="C10" i="4"/>
  <c r="C9" i="1" s="1"/>
  <c r="C36" i="1"/>
  <c r="AA41" i="3"/>
  <c r="AA42" i="3" s="1"/>
  <c r="C12" i="4"/>
  <c r="AF13" i="3"/>
  <c r="AF18" i="3" s="1"/>
  <c r="AF12" i="3"/>
  <c r="AF17" i="3" s="1"/>
  <c r="AF34" i="3"/>
  <c r="AG7" i="3"/>
  <c r="AF14" i="3"/>
  <c r="AE20" i="3"/>
  <c r="C13" i="4" l="1"/>
  <c r="AA43" i="3"/>
  <c r="AD30" i="3"/>
  <c r="AD40" i="3"/>
  <c r="AF25" i="3"/>
  <c r="AG8" i="3"/>
  <c r="AG9" i="3" s="1"/>
  <c r="AG33" i="3"/>
  <c r="AF37" i="3"/>
  <c r="AB41" i="3"/>
  <c r="AB42" i="3" s="1"/>
  <c r="C37" i="1"/>
  <c r="AE23" i="3"/>
  <c r="AE26" i="3" s="1"/>
  <c r="AE29" i="3" s="1"/>
  <c r="B40" i="1"/>
  <c r="AG13" i="3"/>
  <c r="AG18" i="3" s="1"/>
  <c r="AG12" i="3"/>
  <c r="AG17" i="3" s="1"/>
  <c r="AG34" i="3"/>
  <c r="AH7" i="3"/>
  <c r="AG14" i="3"/>
  <c r="C38" i="1"/>
  <c r="AC41" i="3"/>
  <c r="AC42" i="3" s="1"/>
  <c r="AF24" i="3"/>
  <c r="AF19" i="3"/>
  <c r="AF20" i="3"/>
  <c r="C6" i="1"/>
  <c r="AE30" i="3" l="1"/>
  <c r="AE40" i="3"/>
  <c r="AG25" i="3"/>
  <c r="AH8" i="3"/>
  <c r="AH9" i="3" s="1"/>
  <c r="AH33" i="3"/>
  <c r="AG37" i="3"/>
  <c r="AH12" i="3"/>
  <c r="AH17" i="3" s="1"/>
  <c r="AH34" i="3"/>
  <c r="AI7" i="3"/>
  <c r="AH14" i="3"/>
  <c r="AH13" i="3"/>
  <c r="AH18" i="3" s="1"/>
  <c r="AF29" i="3"/>
  <c r="B41" i="1"/>
  <c r="AF23" i="3"/>
  <c r="AF26" i="3" s="1"/>
  <c r="AG24" i="3"/>
  <c r="AG19" i="3"/>
  <c r="AD41" i="3"/>
  <c r="AD42" i="3" s="1"/>
  <c r="C39" i="1"/>
  <c r="AB43" i="3"/>
  <c r="AC43" i="3" s="1"/>
  <c r="C14" i="4"/>
  <c r="C7" i="1" s="1"/>
  <c r="AG20" i="3"/>
  <c r="AH25" i="3" l="1"/>
  <c r="AI8" i="3"/>
  <c r="AI9" i="3" s="1"/>
  <c r="AI12" i="3"/>
  <c r="AI17" i="3" s="1"/>
  <c r="AI34" i="3"/>
  <c r="AJ7" i="3"/>
  <c r="AI14" i="3"/>
  <c r="AI13" i="3"/>
  <c r="AI18" i="3" s="1"/>
  <c r="AH20" i="3"/>
  <c r="AF30" i="3"/>
  <c r="AF40" i="3"/>
  <c r="AG23" i="3"/>
  <c r="AG26" i="3" s="1"/>
  <c r="AG29" i="3" s="1"/>
  <c r="B42" i="1"/>
  <c r="AD43" i="3"/>
  <c r="AE43" i="3" s="1"/>
  <c r="AH24" i="3"/>
  <c r="AH19" i="3"/>
  <c r="AE41" i="3"/>
  <c r="AE42" i="3"/>
  <c r="C40" i="1"/>
  <c r="AI33" i="3"/>
  <c r="AH37" i="3"/>
  <c r="AG30" i="3" l="1"/>
  <c r="AG40" i="3"/>
  <c r="AI25" i="3"/>
  <c r="AJ8" i="3"/>
  <c r="AJ9" i="3" s="1"/>
  <c r="AJ33" i="3"/>
  <c r="AI37" i="3"/>
  <c r="AF41" i="3"/>
  <c r="AF42" i="3" s="1"/>
  <c r="AF43" i="3" s="1"/>
  <c r="C41" i="1"/>
  <c r="AI20" i="3"/>
  <c r="B43" i="1"/>
  <c r="AH23" i="3"/>
  <c r="AH26" i="3" s="1"/>
  <c r="AH29" i="3" s="1"/>
  <c r="AI24" i="3"/>
  <c r="AI19" i="3"/>
  <c r="AJ34" i="3"/>
  <c r="AK7" i="3"/>
  <c r="AJ14" i="3"/>
  <c r="AJ12" i="3"/>
  <c r="AJ17" i="3" s="1"/>
  <c r="AJ13" i="3"/>
  <c r="AJ18" i="3" s="1"/>
  <c r="AH30" i="3" l="1"/>
  <c r="AH40" i="3"/>
  <c r="AK8" i="3"/>
  <c r="AJ25" i="3"/>
  <c r="AK9" i="3"/>
  <c r="AI23" i="3"/>
  <c r="AI26" i="3" s="1"/>
  <c r="B44" i="1"/>
  <c r="AI29" i="3"/>
  <c r="AJ24" i="3"/>
  <c r="AJ19" i="3"/>
  <c r="AJ20" i="3" s="1"/>
  <c r="C42" i="1"/>
  <c r="AG41" i="3"/>
  <c r="AG42" i="3" s="1"/>
  <c r="AG43" i="3" s="1"/>
  <c r="AJ37" i="3"/>
  <c r="AK33" i="3"/>
  <c r="AL7" i="3"/>
  <c r="AK14" i="3"/>
  <c r="AK13" i="3"/>
  <c r="AK18" i="3" s="1"/>
  <c r="AK12" i="3"/>
  <c r="AK17" i="3" s="1"/>
  <c r="AK34" i="3"/>
  <c r="AJ23" i="3" l="1"/>
  <c r="AJ26" i="3" s="1"/>
  <c r="B45" i="1"/>
  <c r="AJ29" i="3"/>
  <c r="AI30" i="3"/>
  <c r="AI40" i="3"/>
  <c r="AL8" i="3"/>
  <c r="AL9" i="3" s="1"/>
  <c r="AK25" i="3"/>
  <c r="C43" i="1"/>
  <c r="AH41" i="3"/>
  <c r="AH42" i="3" s="1"/>
  <c r="AH43" i="3" s="1"/>
  <c r="AK24" i="3"/>
  <c r="AK19" i="3"/>
  <c r="AK20" i="3" s="1"/>
  <c r="AM7" i="3"/>
  <c r="AL14" i="3"/>
  <c r="AL13" i="3"/>
  <c r="AL18" i="3" s="1"/>
  <c r="AL34" i="3"/>
  <c r="AL12" i="3"/>
  <c r="AL17" i="3" s="1"/>
  <c r="AK37" i="3"/>
  <c r="AL33" i="3"/>
  <c r="B46" i="1" l="1"/>
  <c r="AK23" i="3"/>
  <c r="AK26" i="3" s="1"/>
  <c r="AK29" i="3"/>
  <c r="AL25" i="3"/>
  <c r="AM8" i="3"/>
  <c r="AM9" i="3" s="1"/>
  <c r="AL19" i="3"/>
  <c r="AL20" i="3" s="1"/>
  <c r="AL24" i="3"/>
  <c r="AL37" i="3"/>
  <c r="AM33" i="3"/>
  <c r="AM37" i="3" s="1"/>
  <c r="D11" i="4" s="1"/>
  <c r="E11" i="4" s="1"/>
  <c r="B7" i="7" s="1"/>
  <c r="AI41" i="3"/>
  <c r="AI42" i="3" s="1"/>
  <c r="AI43" i="3" s="1"/>
  <c r="C44" i="1"/>
  <c r="AJ30" i="3"/>
  <c r="AJ40" i="3"/>
  <c r="AM12" i="3"/>
  <c r="AM17" i="3" s="1"/>
  <c r="AM34" i="3"/>
  <c r="AM14" i="3"/>
  <c r="AM13" i="3"/>
  <c r="AM18" i="3" s="1"/>
  <c r="D5" i="4"/>
  <c r="E5" i="4" s="1"/>
  <c r="B47" i="1" l="1"/>
  <c r="AL23" i="3"/>
  <c r="AL26" i="3" s="1"/>
  <c r="AL29" i="3" s="1"/>
  <c r="D6" i="4"/>
  <c r="AM25" i="3"/>
  <c r="C7" i="7"/>
  <c r="D7" i="7" s="1"/>
  <c r="E7" i="7" s="1"/>
  <c r="AK40" i="3"/>
  <c r="AK30" i="3"/>
  <c r="AM19" i="3"/>
  <c r="C5" i="7" s="1"/>
  <c r="AM24" i="3"/>
  <c r="AM20" i="3"/>
  <c r="C45" i="1"/>
  <c r="AJ41" i="3"/>
  <c r="AJ42" i="3" s="1"/>
  <c r="AJ43" i="3" s="1"/>
  <c r="AL40" i="3" l="1"/>
  <c r="AL30" i="3"/>
  <c r="AM23" i="3"/>
  <c r="AM26" i="3" s="1"/>
  <c r="D8" i="4" s="1"/>
  <c r="E8" i="4" s="1"/>
  <c r="B6" i="7" s="1"/>
  <c r="B48" i="1"/>
  <c r="D7" i="4"/>
  <c r="E6" i="4"/>
  <c r="C5" i="6"/>
  <c r="D8" i="1"/>
  <c r="C6" i="7"/>
  <c r="C46" i="1"/>
  <c r="AK41" i="3"/>
  <c r="AK42" i="3" s="1"/>
  <c r="AK43" i="3" s="1"/>
  <c r="D6" i="7" l="1"/>
  <c r="E6" i="7" s="1"/>
  <c r="C6" i="6"/>
  <c r="D5" i="1"/>
  <c r="E7" i="4"/>
  <c r="AM29" i="3"/>
  <c r="AL41" i="3"/>
  <c r="AL42" i="3" s="1"/>
  <c r="AL43" i="3" s="1"/>
  <c r="C47" i="1"/>
  <c r="B5" i="7" l="1"/>
  <c r="D5" i="7" s="1"/>
  <c r="E5" i="7" s="1"/>
  <c r="C8" i="6"/>
  <c r="G6" i="1" s="1"/>
  <c r="AM30" i="3"/>
  <c r="AM40" i="3"/>
  <c r="D9" i="4"/>
  <c r="D10" i="4" l="1"/>
  <c r="D9" i="1" s="1"/>
  <c r="E9" i="4"/>
  <c r="E10" i="4" s="1"/>
  <c r="AM41" i="3"/>
  <c r="C48" i="1"/>
  <c r="AM42" i="3"/>
  <c r="D12" i="4"/>
  <c r="D13" i="4" l="1"/>
  <c r="E13" i="4" s="1"/>
  <c r="C8" i="7" s="1"/>
  <c r="AM43" i="3"/>
  <c r="D14" i="4" s="1"/>
  <c r="C7" i="6"/>
  <c r="D6" i="1"/>
  <c r="E12" i="4"/>
  <c r="C9" i="6" s="1"/>
  <c r="H6" i="1" s="1"/>
  <c r="E14" i="4" l="1"/>
  <c r="B8" i="7" s="1"/>
  <c r="D8" i="7" s="1"/>
  <c r="E8" i="7" s="1"/>
  <c r="B10" i="7" s="1"/>
  <c r="D7" i="1"/>
  <c r="E10" i="7" l="1"/>
  <c r="D10" i="7"/>
</calcChain>
</file>

<file path=xl/sharedStrings.xml><?xml version="1.0" encoding="utf-8"?>
<sst xmlns="http://schemas.openxmlformats.org/spreadsheetml/2006/main" count="494" uniqueCount="286">
  <si>
    <t>AIntern Business Model Dashboard (MYR)</t>
  </si>
  <si>
    <t>Base Case forecast. Update assumptions to refresh model outputs.</t>
  </si>
  <si>
    <t>KPI</t>
  </si>
  <si>
    <t>Year 1</t>
  </si>
  <si>
    <t>Year 2</t>
  </si>
  <si>
    <t>Year 3</t>
  </si>
  <si>
    <t>Scenario</t>
  </si>
  <si>
    <t>3-Year Revenue</t>
  </si>
  <si>
    <t>3-Year EBITDA</t>
  </si>
  <si>
    <t>Gross revenue</t>
  </si>
  <si>
    <t>EBITDA</t>
  </si>
  <si>
    <t>Ending cash</t>
  </si>
  <si>
    <t>Ending active users</t>
  </si>
  <si>
    <t>Gross margin</t>
  </si>
  <si>
    <t>Month</t>
  </si>
  <si>
    <t>Revenue</t>
  </si>
  <si>
    <t>AIntern Business Model - Assumptions (MYR)</t>
  </si>
  <si>
    <t>Editable cells are blue text with yellow fill. Update these to test pricing, adoption, AI costs, and operating plan scenarios.</t>
  </si>
  <si>
    <t>Category</t>
  </si>
  <si>
    <t>Assumption</t>
  </si>
  <si>
    <t>Base Case</t>
  </si>
  <si>
    <t>Bear Case</t>
  </si>
  <si>
    <t>Bull Case</t>
  </si>
  <si>
    <t>Unit</t>
  </si>
  <si>
    <t>Source / Rationale</t>
  </si>
  <si>
    <t>Notes</t>
  </si>
  <si>
    <t>Model</t>
  </si>
  <si>
    <t>Forecast months</t>
  </si>
  <si>
    <t>months</t>
  </si>
  <si>
    <t>Management assumption</t>
  </si>
  <si>
    <t>Monthly model uses 36-month forecast.</t>
  </si>
  <si>
    <t>Pricing</t>
  </si>
  <si>
    <t>3-month internship pass</t>
  </si>
  <si>
    <t>MYR/pass</t>
  </si>
  <si>
    <t>AIntern pricing assumption</t>
  </si>
  <si>
    <t>Intern-paid B2C one-time pass.</t>
  </si>
  <si>
    <t>6-month internship pass</t>
  </si>
  <si>
    <t>Longer internship option.</t>
  </si>
  <si>
    <t>Bundled AI upgrade</t>
  </si>
  <si>
    <t>Optional upgrade; BYOK remains available.</t>
  </si>
  <si>
    <t>Mix</t>
  </si>
  <si>
    <t>3-month pass mix</t>
  </si>
  <si>
    <t>%</t>
  </si>
  <si>
    <t>Remaining paid users take 6-month pass.</t>
  </si>
  <si>
    <t>Bundled AI attach rate</t>
  </si>
  <si>
    <t>Share of paid users buying bundled AI.</t>
  </si>
  <si>
    <t>Growth</t>
  </si>
  <si>
    <t>Month 1 new paid users</t>
  </si>
  <si>
    <t>users</t>
  </si>
  <si>
    <t>Pilot launch assumption</t>
  </si>
  <si>
    <t>Paid users acquired in first month.</t>
  </si>
  <si>
    <t>Monthly new paid user growth</t>
  </si>
  <si>
    <t>Growth in new paid pass purchases.</t>
  </si>
  <si>
    <t>Monthly churn / refund leakage</t>
  </si>
  <si>
    <t>Applied to active paid users for conservative leakage.</t>
  </si>
  <si>
    <t>Marketing</t>
  </si>
  <si>
    <t>CAC per paid user</t>
  </si>
  <si>
    <t>MYR/user</t>
  </si>
  <si>
    <t>Paid acquisition blended with referrals/content.</t>
  </si>
  <si>
    <t>COGS</t>
  </si>
  <si>
    <t>Payment processing rate</t>
  </si>
  <si>
    <t>% revenue</t>
  </si>
  <si>
    <t>Editable payment fee assumption</t>
  </si>
  <si>
    <t>Keep editable because provider fees vary.</t>
  </si>
  <si>
    <t>Fixed payment fee</t>
  </si>
  <si>
    <t>MYR/transaction</t>
  </si>
  <si>
    <t>Per paid pass transaction.</t>
  </si>
  <si>
    <t>AI cost per bundled AI user</t>
  </si>
  <si>
    <t>Covers monthly prompt usage; tune after telemetry.</t>
  </si>
  <si>
    <t>Infrastructure per active user</t>
  </si>
  <si>
    <t>MYR/user/month</t>
  </si>
  <si>
    <t>Supabase, Vercel, storage, email envelope.</t>
  </si>
  <si>
    <t>Team</t>
  </si>
  <si>
    <t>Founder/developer salary month 1</t>
  </si>
  <si>
    <t>MYR/month</t>
  </si>
  <si>
    <t>Can be zero if sweat equity.</t>
  </si>
  <si>
    <t>Monthly team cost ramp</t>
  </si>
  <si>
    <t>Hiring/support ramp.</t>
  </si>
  <si>
    <t>Opex</t>
  </si>
  <si>
    <t>Base tools/admin/legal</t>
  </si>
  <si>
    <t>Software, domain, accounting, legal/admin.</t>
  </si>
  <si>
    <t>Monthly marketing base</t>
  </si>
  <si>
    <t>Content, ads, campus campaigns.</t>
  </si>
  <si>
    <t>Finance</t>
  </si>
  <si>
    <t>Starting cash</t>
  </si>
  <si>
    <t>MYR</t>
  </si>
  <si>
    <t>Cash before model month 1.</t>
  </si>
  <si>
    <t>Tax rate</t>
  </si>
  <si>
    <t>Pre-tax pilot simplification</t>
  </si>
  <si>
    <t>Set later when tax planning is ready.</t>
  </si>
  <si>
    <t>AIntern Monthly Operating Model (MYR)</t>
  </si>
  <si>
    <t>Formula-driven 36-month model. Inputs link to Assumptions Base Case.</t>
  </si>
  <si>
    <t>Metric</t>
  </si>
  <si>
    <t>Source / Notes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</si>
  <si>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</si>
  <si>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</si>
  <si>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</si>
  <si>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</si>
  <si>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</si>
  <si>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</si>
  <si>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</si>
  <si>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</si>
  <si>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</si>
  <si>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</si>
  <si>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</si>
  <si>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</si>
  <si>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</si>
  <si>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</si>
  <si>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</si>
  <si>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</si>
  <si>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</si>
  <si>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</si>
  <si>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</si>
  <si>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</si>
  <si>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</si>
  <si>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</si>
  <si>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</si>
  <si>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</si>
  <si>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</si>
  <si>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</si>
  <si>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</si>
  <si>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</si>
  <si>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</si>
  <si>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</si>
  <si>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</si>
  <si>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</si>
  <si>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</si>
  <si>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</si>
  <si>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</si>
  <si>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</si>
  <si>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Customer Funnel</t>
  </si>
  <si>
    <t>New paid users</t>
  </si>
  <si>
    <t>Forecast from M1 users and monthly growth</t>
  </si>
  <si>
    <t>Churn / refund leakage</t>
  </si>
  <si>
    <t>Active users * leakage rate</t>
  </si>
  <si>
    <t>Ending active paid users</t>
  </si>
  <si>
    <t>Prior active + new users - leakage</t>
  </si>
  <si>
    <t>Pricing &amp; Mix</t>
  </si>
  <si>
    <t>3-month pass users</t>
  </si>
  <si>
    <t>New users * 3-month mix</t>
  </si>
  <si>
    <t>6-month pass users</t>
  </si>
  <si>
    <t>New users * 6-month mix</t>
  </si>
  <si>
    <t>Bundled AI upgrade users</t>
  </si>
  <si>
    <t>New users * AI attach rate</t>
  </si>
  <si>
    <t>3-month pass revenue</t>
  </si>
  <si>
    <t>3-month users * price</t>
  </si>
  <si>
    <t>6-month pass revenue</t>
  </si>
  <si>
    <t>6-month users * price</t>
  </si>
  <si>
    <t>Bundled AI revenue</t>
  </si>
  <si>
    <t>AI upgrade users * upgrade price</t>
  </si>
  <si>
    <t>Sum of revenue lines</t>
  </si>
  <si>
    <t>Payment processing fees</t>
  </si>
  <si>
    <t>Gross revenue * fee rate + transactions * fixed fee</t>
  </si>
  <si>
    <t>Bundled AI usage cost</t>
  </si>
  <si>
    <t>Bundled AI users * cost/user</t>
  </si>
  <si>
    <t>Infrastructure and email</t>
  </si>
  <si>
    <t>Active users * infrastructure cost/user/month</t>
  </si>
  <si>
    <t>Total COGS</t>
  </si>
  <si>
    <t>Sum of COGS lines</t>
  </si>
  <si>
    <t>Gross Profit</t>
  </si>
  <si>
    <t>Gross profit</t>
  </si>
  <si>
    <t>Gross revenue - COGS</t>
  </si>
  <si>
    <t>Gross profit / gross revenue</t>
  </si>
  <si>
    <t>Operating Expenses</t>
  </si>
  <si>
    <t>Team / founder compensation</t>
  </si>
  <si>
    <t>Starting team cost with monthly ramp</t>
  </si>
  <si>
    <t>Marketing variable CAC</t>
  </si>
  <si>
    <t>New paid users * CAC</t>
  </si>
  <si>
    <t>Marketing base</t>
  </si>
  <si>
    <t>Fixed monthly marketing budget</t>
  </si>
  <si>
    <t>Tools, admin, legal</t>
  </si>
  <si>
    <t>Total Opex</t>
  </si>
  <si>
    <t>Sum of operating expenses</t>
  </si>
  <si>
    <t>Profitability &amp; Cash</t>
  </si>
  <si>
    <t>Gross profit - Opex</t>
  </si>
  <si>
    <t>Tax</t>
  </si>
  <si>
    <t>Positive EBITDA * tax rate</t>
  </si>
  <si>
    <t>Net income</t>
  </si>
  <si>
    <t>EBITDA - tax</t>
  </si>
  <si>
    <t>Starting cash + cumulative net income</t>
  </si>
  <si>
    <t>Annual Summary (MYR)</t>
  </si>
  <si>
    <t>Yearly roll-up from the monthly model.</t>
  </si>
  <si>
    <t>3-Year Total</t>
  </si>
  <si>
    <t>Unit Economics</t>
  </si>
  <si>
    <t>Contribution per new paid user and payback using Base Case assumptions.</t>
  </si>
  <si>
    <t>Formula / Basis</t>
  </si>
  <si>
    <t>Value</t>
  </si>
  <si>
    <t>Interpretation</t>
  </si>
  <si>
    <t>Weighted average pass revenue</t>
  </si>
  <si>
    <t>3M price * mix + 6M price * (1 - mix)</t>
  </si>
  <si>
    <t>Average base pass revenue before AI upgrade.</t>
  </si>
  <si>
    <t>AI revenue per paid user</t>
  </si>
  <si>
    <t>AI upgrade price * attach rate</t>
  </si>
  <si>
    <t>Incremental revenue from bundled AI.</t>
  </si>
  <si>
    <t>ARPPU per new paid user</t>
  </si>
  <si>
    <t>Pass revenue + AI revenue</t>
  </si>
  <si>
    <t>Blended revenue per paid user.</t>
  </si>
  <si>
    <t>Payment fee per paid user</t>
  </si>
  <si>
    <t>ARPPU * fee rate + fixed fee</t>
  </si>
  <si>
    <t>Payment COGS estimate.</t>
  </si>
  <si>
    <t>AI COGS per paid user</t>
  </si>
  <si>
    <t>AI cost/user * attach rate</t>
  </si>
  <si>
    <t>Weighted AI cost across all paid users.</t>
  </si>
  <si>
    <t>Contribution before infra</t>
  </si>
  <si>
    <t>ARPPU - payment - AI COGS</t>
  </si>
  <si>
    <t>Useful for acquisition planning.</t>
  </si>
  <si>
    <t>CAC</t>
  </si>
  <si>
    <t>Assumptions base case</t>
  </si>
  <si>
    <t>Blended paid acquisition cost.</t>
  </si>
  <si>
    <t>Contribution after CAC</t>
  </si>
  <si>
    <t>Contribution before infra - CAC</t>
  </si>
  <si>
    <t>Must be positive for scalable B2C growth.</t>
  </si>
  <si>
    <t>CAC payback</t>
  </si>
  <si>
    <t>CAC / contribution before infra</t>
  </si>
  <si>
    <t>x</t>
  </si>
  <si>
    <t>Below 1.0x means CAC is recovered inside initial transaction.</t>
  </si>
  <si>
    <t>Scenario Summary</t>
  </si>
  <si>
    <t>Bear, Base, and Bull cases are linked to the assumption columns.</t>
  </si>
  <si>
    <t>Bear</t>
  </si>
  <si>
    <t>Base</t>
  </si>
  <si>
    <t>Bull</t>
  </si>
  <si>
    <t>Bear Formula</t>
  </si>
  <si>
    <t>Base Formula</t>
  </si>
  <si>
    <t>Bull Formula</t>
  </si>
  <si>
    <t>Month 36 active paid users</t>
  </si>
  <si>
    <t>Year 3 revenue</t>
  </si>
  <si>
    <t>Year 3 EBITDA</t>
  </si>
  <si>
    <t>3-year revenue</t>
  </si>
  <si>
    <t>3-year EBITDA</t>
  </si>
  <si>
    <t>Model Checks</t>
  </si>
  <si>
    <t>Status should be OK before relying on outputs.</t>
  </si>
  <si>
    <t>Check</t>
  </si>
  <si>
    <t>Actual</t>
  </si>
  <si>
    <t>Expected</t>
  </si>
  <si>
    <t>Difference</t>
  </si>
  <si>
    <t>Status</t>
  </si>
  <si>
    <t>Revenue sums to components</t>
  </si>
  <si>
    <t>Gross revenue should equal revenue components.</t>
  </si>
  <si>
    <t>COGS sums to components</t>
  </si>
  <si>
    <t>COGS should equal payment, AI, and infra costs.</t>
  </si>
  <si>
    <t>Opex sums to components</t>
  </si>
  <si>
    <t>Opex should equal team, CAC, marketing base, tools/admin.</t>
  </si>
  <si>
    <t>Cash roll-forward</t>
  </si>
  <si>
    <t>Ending cash should equal starting cash plus cumulative net income.</t>
  </si>
  <si>
    <t>No formula errors in model status</t>
  </si>
  <si>
    <t>Tool-level workbook scan is also run before export.</t>
  </si>
  <si>
    <t>Overall model status</t>
  </si>
  <si>
    <t>Dashboard can be used when this says OK.</t>
  </si>
  <si>
    <t>Sources &amp; Notes</t>
  </si>
  <si>
    <t>This workbook uses management assumptions and editable placeholders. Replace assumptions with actual pilot data when available.</t>
  </si>
  <si>
    <t>Item</t>
  </si>
  <si>
    <t>Value / Area</t>
  </si>
  <si>
    <t>Units</t>
  </si>
  <si>
    <t>Source Type</t>
  </si>
  <si>
    <t>Owner</t>
  </si>
  <si>
    <t>Product model</t>
  </si>
  <si>
    <t>Intern-paid B2C</t>
  </si>
  <si>
    <t>n/a</t>
  </si>
  <si>
    <t>Project docs</t>
  </si>
  <si>
    <t>AIntern project plan: intern owns account and supervisor uses token links.</t>
  </si>
  <si>
    <t>Effort Studio</t>
  </si>
  <si>
    <t>3M / 6M pass + AI upgrade</t>
  </si>
  <si>
    <t>Editable, to validate during pilot.</t>
  </si>
  <si>
    <t>Payment, AI, infrastructure</t>
  </si>
  <si>
    <t>MYR / %</t>
  </si>
  <si>
    <t>Provider fees and AI usage should be updated after pilot telemetry.</t>
  </si>
  <si>
    <t>Paid users and CAC</t>
  </si>
  <si>
    <t>users / MYR</t>
  </si>
  <si>
    <t>Start with campus pilot and referral/content assumptions.</t>
  </si>
  <si>
    <t>0% in base</t>
  </si>
  <si>
    <t>Simplification</t>
  </si>
  <si>
    <t>Set once entity/tax treatment is confirmed.</t>
  </si>
  <si>
    <t>Currency</t>
  </si>
  <si>
    <t>User request</t>
  </si>
  <si>
    <t>All money amounts are in Malaysian Ringgit.</t>
  </si>
  <si>
    <t>Model date</t>
  </si>
  <si>
    <t>28 July 2026</t>
  </si>
  <si>
    <t>date</t>
  </si>
  <si>
    <t>System date</t>
  </si>
  <si>
    <t>Prepared during Report Center pilot phase.</t>
  </si>
  <si>
    <t>Codex</t>
  </si>
  <si>
    <t>Security note</t>
  </si>
  <si>
    <t>No secrets included</t>
  </si>
  <si>
    <t>Operating rule</t>
  </si>
  <si>
    <t>Do not store API keys, tokens, or passwords in workbook.</t>
  </si>
  <si>
    <t>All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</si>
</sst>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[Red]\(#,##0\);\-"/>
    <numFmt numFmtId="165" formatCode="&quot;MYR &quot;#,##0;[Red]\(&quot;MYR &quot;#,##0\);\-"/>
    <numFmt numFmtId="166" formatCode="0.0%;[Red]\(0.0%\);\-"/>
    <numFmt numFmtId="167" formatCode="0.0\x;[Red]\(0.0\x\);\-"/>
  </numFmts>
  <fonts count="9">
    <font>
      <sz val="11"/>
      <name val="Carlito"/>
    </font>
    <font>
      <b/>
      <sz val="10"/>
      <color rgb="FFFFFFFF"/>
      <name val="Aptos"/>
    </font>
    <font>
      <i/>
      <sz val="10"/>
      <color rgb="FF475569"/>
      <name val="Aptos"/>
    </font>
    <font>
      <sz val="10"/>
      <name val="Aptos"/>
    </font>
    <font>
      <b/>
      <sz val="10"/>
      <color rgb="FF0F172A"/>
      <name val="Aptos"/>
    </font>
    <font>
      <sz val="10"/>
      <color rgb="FF000000"/>
      <name val="Aptos"/>
    </font>
    <font>
      <sz val="10"/>
      <color rgb="FF0000FF"/>
      <name val="Aptos"/>
    </font>
    <font>
      <b/>
      <sz val="10"/>
      <color rgb="FF000000"/>
      <name val="Aptos"/>
    </font>
    <font>
      <b/>
      <sz val="18"/>
      <color rgb="FFFFFFFF"/>
      <name val="Aptos Display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E8EEF5"/>
      </patternFill>
    </fill>
    <fill>
      <patternFill patternType="solid">
        <fgColor rgb="FFFFF2CC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4" fillId="4" borderId="1" xfId="0" applyFont="1" applyFill="1" applyBorder="1" applyAlignment="1">
      <alignment wrapText="1"/>
    </xf>
    <xf numFmtId="0" fontId="4" fillId="4" borderId="2" xfId="0" applyFont="1" applyFill="1" applyBorder="1" applyAlignment="1">
      <alignment wrapText="1"/>
    </xf>
    <xf numFmtId="0" fontId="4" fillId="4" borderId="3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5" fillId="0" borderId="4" xfId="0" applyFont="1" applyBorder="1" applyAlignment="1">
      <alignment wrapText="1"/>
    </xf>
    <xf numFmtId="165" fontId="5" fillId="0" borderId="5" xfId="0" applyNumberFormat="1" applyFont="1" applyBorder="1" applyAlignment="1">
      <alignment wrapText="1"/>
    </xf>
    <xf numFmtId="165" fontId="5" fillId="0" borderId="6" xfId="0" applyNumberFormat="1" applyFont="1" applyBorder="1" applyAlignment="1">
      <alignment wrapText="1"/>
    </xf>
    <xf numFmtId="0" fontId="5" fillId="0" borderId="7" xfId="0" applyFont="1" applyBorder="1" applyAlignment="1">
      <alignment wrapText="1"/>
    </xf>
    <xf numFmtId="165" fontId="5" fillId="0" borderId="8" xfId="0" applyNumberFormat="1" applyFont="1" applyBorder="1" applyAlignment="1">
      <alignment wrapText="1"/>
    </xf>
    <xf numFmtId="165" fontId="5" fillId="0" borderId="9" xfId="0" applyNumberFormat="1" applyFont="1" applyBorder="1" applyAlignment="1">
      <alignment wrapText="1"/>
    </xf>
    <xf numFmtId="0" fontId="5" fillId="0" borderId="10" xfId="0" applyFont="1" applyBorder="1" applyAlignment="1">
      <alignment wrapText="1"/>
    </xf>
    <xf numFmtId="165" fontId="5" fillId="0" borderId="11" xfId="0" applyNumberFormat="1" applyFont="1" applyBorder="1" applyAlignment="1">
      <alignment wrapText="1"/>
    </xf>
    <xf numFmtId="165" fontId="5" fillId="0" borderId="12" xfId="0" applyNumberFormat="1" applyFont="1" applyBorder="1" applyAlignment="1">
      <alignment wrapText="1"/>
    </xf>
    <xf numFmtId="164" fontId="5" fillId="0" borderId="8" xfId="0" applyNumberFormat="1" applyFont="1" applyBorder="1" applyAlignment="1">
      <alignment wrapText="1"/>
    </xf>
    <xf numFmtId="164" fontId="5" fillId="0" borderId="9" xfId="0" applyNumberFormat="1" applyFont="1" applyBorder="1" applyAlignment="1">
      <alignment wrapText="1"/>
    </xf>
    <xf numFmtId="166" fontId="5" fillId="0" borderId="11" xfId="0" applyNumberFormat="1" applyFont="1" applyBorder="1" applyAlignment="1">
      <alignment wrapText="1"/>
    </xf>
    <xf numFmtId="166" fontId="5" fillId="0" borderId="12" xfId="0" applyNumberFormat="1" applyFont="1" applyBorder="1" applyAlignment="1">
      <alignment wrapText="1"/>
    </xf>
    <xf numFmtId="165" fontId="3" fillId="0" borderId="0" xfId="0" applyNumberFormat="1" applyFont="1" applyAlignment="1">
      <alignment wrapText="1"/>
    </xf>
    <xf numFmtId="164" fontId="6" fillId="5" borderId="4" xfId="0" applyNumberFormat="1" applyFont="1" applyFill="1" applyBorder="1" applyAlignment="1">
      <alignment wrapText="1"/>
    </xf>
    <xf numFmtId="164" fontId="6" fillId="5" borderId="5" xfId="0" applyNumberFormat="1" applyFont="1" applyFill="1" applyBorder="1" applyAlignment="1">
      <alignment wrapText="1"/>
    </xf>
    <xf numFmtId="164" fontId="6" fillId="5" borderId="6" xfId="0" applyNumberFormat="1" applyFont="1" applyFill="1" applyBorder="1" applyAlignment="1">
      <alignment wrapText="1"/>
    </xf>
    <xf numFmtId="165" fontId="6" fillId="5" borderId="7" xfId="0" applyNumberFormat="1" applyFont="1" applyFill="1" applyBorder="1" applyAlignment="1">
      <alignment wrapText="1"/>
    </xf>
    <xf numFmtId="165" fontId="6" fillId="5" borderId="8" xfId="0" applyNumberFormat="1" applyFont="1" applyFill="1" applyBorder="1" applyAlignment="1">
      <alignment wrapText="1"/>
    </xf>
    <xf numFmtId="165" fontId="6" fillId="5" borderId="9" xfId="0" applyNumberFormat="1" applyFont="1" applyFill="1" applyBorder="1" applyAlignment="1">
      <alignment wrapText="1"/>
    </xf>
    <xf numFmtId="166" fontId="6" fillId="5" borderId="7" xfId="0" applyNumberFormat="1" applyFont="1" applyFill="1" applyBorder="1" applyAlignment="1">
      <alignment wrapText="1"/>
    </xf>
    <xf numFmtId="166" fontId="6" fillId="5" borderId="8" xfId="0" applyNumberFormat="1" applyFont="1" applyFill="1" applyBorder="1" applyAlignment="1">
      <alignment wrapText="1"/>
    </xf>
    <xf numFmtId="166" fontId="6" fillId="5" borderId="9" xfId="0" applyNumberFormat="1" applyFont="1" applyFill="1" applyBorder="1" applyAlignment="1">
      <alignment wrapText="1"/>
    </xf>
    <xf numFmtId="164" fontId="6" fillId="5" borderId="7" xfId="0" applyNumberFormat="1" applyFont="1" applyFill="1" applyBorder="1" applyAlignment="1">
      <alignment wrapText="1"/>
    </xf>
    <xf numFmtId="164" fontId="6" fillId="5" borderId="8" xfId="0" applyNumberFormat="1" applyFont="1" applyFill="1" applyBorder="1" applyAlignment="1">
      <alignment wrapText="1"/>
    </xf>
    <xf numFmtId="164" fontId="6" fillId="5" borderId="9" xfId="0" applyNumberFormat="1" applyFont="1" applyFill="1" applyBorder="1" applyAlignment="1">
      <alignment wrapText="1"/>
    </xf>
    <xf numFmtId="166" fontId="6" fillId="5" borderId="10" xfId="0" applyNumberFormat="1" applyFont="1" applyFill="1" applyBorder="1" applyAlignment="1">
      <alignment wrapText="1"/>
    </xf>
    <xf numFmtId="166" fontId="6" fillId="5" borderId="11" xfId="0" applyNumberFormat="1" applyFont="1" applyFill="1" applyBorder="1" applyAlignment="1">
      <alignment wrapText="1"/>
    </xf>
    <xf numFmtId="166" fontId="6" fillId="5" borderId="12" xfId="0" applyNumberFormat="1" applyFont="1" applyFill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9" xfId="0" applyFont="1" applyBorder="1" applyAlignment="1">
      <alignment wrapText="1"/>
    </xf>
    <xf numFmtId="166" fontId="5" fillId="0" borderId="8" xfId="0" applyNumberFormat="1" applyFont="1" applyBorder="1" applyAlignment="1">
      <alignment wrapText="1"/>
    </xf>
    <xf numFmtId="166" fontId="5" fillId="0" borderId="9" xfId="0" applyNumberFormat="1" applyFont="1" applyBorder="1" applyAlignment="1">
      <alignment wrapText="1"/>
    </xf>
    <xf numFmtId="164" fontId="5" fillId="0" borderId="5" xfId="0" applyNumberFormat="1" applyFont="1" applyBorder="1" applyAlignment="1">
      <alignment wrapText="1"/>
    </xf>
    <xf numFmtId="164" fontId="5" fillId="0" borderId="6" xfId="0" applyNumberFormat="1" applyFont="1" applyBorder="1" applyAlignment="1">
      <alignment wrapText="1"/>
    </xf>
    <xf numFmtId="167" fontId="5" fillId="0" borderId="11" xfId="0" applyNumberFormat="1" applyFont="1" applyBorder="1" applyAlignment="1">
      <alignment wrapText="1"/>
    </xf>
    <xf numFmtId="0" fontId="5" fillId="0" borderId="12" xfId="0" applyFont="1" applyBorder="1" applyAlignment="1">
      <alignment wrapText="1"/>
    </xf>
    <xf numFmtId="164" fontId="5" fillId="0" borderId="11" xfId="0" applyNumberFormat="1" applyFont="1" applyBorder="1" applyAlignment="1">
      <alignment wrapText="1"/>
    </xf>
    <xf numFmtId="0" fontId="8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1" fillId="2" borderId="0" xfId="0" applyFont="1" applyFill="1" applyAlignment="1">
      <alignment horizontal="left" vertical="center" wrapText="1"/>
    </xf>
    <xf numFmtId="0" fontId="7" fillId="2" borderId="7" xfId="0" applyFont="1" applyFill="1" applyBorder="1" applyAlignment="1">
      <alignment horizontal="left" wrapText="1"/>
    </xf>
    <xf numFmtId="0" fontId="5" fillId="0" borderId="8" xfId="0" applyFont="1" applyBorder="1" applyAlignment="1">
      <alignment wrapText="1"/>
    </xf>
    <xf numFmtId="0" fontId="5" fillId="0" borderId="9" xfId="0" applyFont="1" applyBorder="1" applyAlignment="1">
      <alignment wrapText="1"/>
    </xf>
    <xf numFmtId="164" fontId="5" fillId="0" borderId="8" xfId="0" applyNumberFormat="1" applyFont="1" applyBorder="1" applyAlignment="1">
      <alignment wrapText="1"/>
    </xf>
    <xf numFmtId="164" fontId="5" fillId="0" borderId="9" xfId="0" applyNumberFormat="1" applyFont="1" applyBorder="1" applyAlignment="1">
      <alignment wrapText="1"/>
    </xf>
    <xf numFmtId="165" fontId="5" fillId="0" borderId="8" xfId="0" applyNumberFormat="1" applyFont="1" applyBorder="1" applyAlignment="1">
      <alignment wrapText="1"/>
    </xf>
    <xf numFmtId="165" fontId="5" fillId="0" borderId="9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Monthly Revenue and EBITDA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Revenue</c:v>
          </c:tx>
          <c:cat>
            <c:strRef>
              <c:f>Dashboard!$A$13:$A$48</c:f>
              <c:strCache>
                <c:ptCount val="36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  <c:pt idx="24">
                  <c:v>M25</c:v>
                </c:pt>
                <c:pt idx="25">
                  <c:v>M26</c:v>
                </c:pt>
                <c:pt idx="26">
                  <c:v>M27</c:v>
                </c:pt>
                <c:pt idx="27">
                  <c:v>M28</c:v>
                </c:pt>
                <c:pt idx="28">
                  <c:v>M29</c:v>
                </c:pt>
                <c:pt idx="29">
                  <c:v>M30</c:v>
                </c:pt>
                <c:pt idx="30">
                  <c:v>M31</c:v>
                </c:pt>
                <c:pt idx="31">
                  <c:v>M32</c:v>
                </c:pt>
                <c:pt idx="32">
                  <c:v>M33</c:v>
                </c:pt>
                <c:pt idx="33">
                  <c:v>M34</c:v>
                </c:pt>
                <c:pt idx="34">
                  <c:v>M35</c:v>
                </c:pt>
                <c:pt idx="35">
                  <c:v>M36</c:v>
                </c:pt>
              </c:strCache>
            </c:strRef>
          </c:cat>
          <c:val>
            <c:numRef>
              <c:f>Dashboard!$B$13:$B$48</c:f>
              <c:numCache>
                <c:formatCode>"MYR "#,##0;[Red]\("MYR "#,##0\);\-</c:formatCode>
                <c:ptCount val="36"/>
                <c:pt idx="0">
                  <c:v>1972.5</c:v>
                </c:pt>
                <c:pt idx="1">
                  <c:v>2327.5500000000002</c:v>
                </c:pt>
                <c:pt idx="2">
                  <c:v>2746.509</c:v>
                </c:pt>
                <c:pt idx="3">
                  <c:v>3240.8806199999999</c:v>
                </c:pt>
                <c:pt idx="4">
                  <c:v>3824.2391315999989</c:v>
                </c:pt>
                <c:pt idx="5">
                  <c:v>4512.6021752879997</c:v>
                </c:pt>
                <c:pt idx="6">
                  <c:v>5324.8705668398388</c:v>
                </c:pt>
                <c:pt idx="7">
                  <c:v>6283.347268871009</c:v>
                </c:pt>
                <c:pt idx="8">
                  <c:v>7414.3497772677902</c:v>
                </c:pt>
                <c:pt idx="9">
                  <c:v>8748.9327371759937</c:v>
                </c:pt>
                <c:pt idx="10">
                  <c:v>10323.740629867672</c:v>
                </c:pt>
                <c:pt idx="11">
                  <c:v>12182.013943243852</c:v>
                </c:pt>
                <c:pt idx="12">
                  <c:v>14374.776453027745</c:v>
                </c:pt>
                <c:pt idx="13">
                  <c:v>16962.236214572738</c:v>
                </c:pt>
                <c:pt idx="14">
                  <c:v>20015.438733195831</c:v>
                </c:pt>
                <c:pt idx="15">
                  <c:v>23618.217705171079</c:v>
                </c:pt>
                <c:pt idx="16">
                  <c:v>27869.496892101874</c:v>
                </c:pt>
                <c:pt idx="17">
                  <c:v>32886.006332680212</c:v>
                </c:pt>
                <c:pt idx="18">
                  <c:v>38805.487472562643</c:v>
                </c:pt>
                <c:pt idx="19">
                  <c:v>45790.47521762392</c:v>
                </c:pt>
                <c:pt idx="20">
                  <c:v>54032.760756796219</c:v>
                </c:pt>
                <c:pt idx="21">
                  <c:v>63758.657693019544</c:v>
                </c:pt>
                <c:pt idx="22">
                  <c:v>75235.216077763049</c:v>
                </c:pt>
                <c:pt idx="23">
                  <c:v>88777.554971760401</c:v>
                </c:pt>
                <c:pt idx="24">
                  <c:v>104757.51486667727</c:v>
                </c:pt>
                <c:pt idx="25">
                  <c:v>123613.86754267917</c:v>
                </c:pt>
                <c:pt idx="26">
                  <c:v>145864.3637003614</c:v>
                </c:pt>
                <c:pt idx="27">
                  <c:v>172119.94916642646</c:v>
                </c:pt>
                <c:pt idx="28">
                  <c:v>203101.54001638322</c:v>
                </c:pt>
                <c:pt idx="29">
                  <c:v>239659.81721933218</c:v>
                </c:pt>
                <c:pt idx="30">
                  <c:v>282798.58431881195</c:v>
                </c:pt>
                <c:pt idx="31">
                  <c:v>333702.32949619816</c:v>
                </c:pt>
                <c:pt idx="32">
                  <c:v>393768.74880551372</c:v>
                </c:pt>
                <c:pt idx="33">
                  <c:v>464647.12359050615</c:v>
                </c:pt>
                <c:pt idx="34">
                  <c:v>548283.60583679727</c:v>
                </c:pt>
                <c:pt idx="35">
                  <c:v>646974.65488742071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73-4D55-89CF-E9D37B8C7D10}"/>
            </c:ext>
          </c:extLst>
        </c:ser>
        <c:ser>
          <c:idx val="1"/>
          <c:order val="1"/>
          <c:tx>
            <c:v>EBITDA</c:v>
          </c:tx>
          <c:cat>
            <c:strRef>
              <c:f>Dashboard!$A$13:$A$48</c:f>
              <c:strCache>
                <c:ptCount val="36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  <c:pt idx="24">
                  <c:v>M25</c:v>
                </c:pt>
                <c:pt idx="25">
                  <c:v>M26</c:v>
                </c:pt>
                <c:pt idx="26">
                  <c:v>M27</c:v>
                </c:pt>
                <c:pt idx="27">
                  <c:v>M28</c:v>
                </c:pt>
                <c:pt idx="28">
                  <c:v>M29</c:v>
                </c:pt>
                <c:pt idx="29">
                  <c:v>M30</c:v>
                </c:pt>
                <c:pt idx="30">
                  <c:v>M31</c:v>
                </c:pt>
                <c:pt idx="31">
                  <c:v>M32</c:v>
                </c:pt>
                <c:pt idx="32">
                  <c:v>M33</c:v>
                </c:pt>
                <c:pt idx="33">
                  <c:v>M34</c:v>
                </c:pt>
                <c:pt idx="34">
                  <c:v>M35</c:v>
                </c:pt>
                <c:pt idx="35">
                  <c:v>M36</c:v>
                </c:pt>
              </c:strCache>
            </c:strRef>
          </c:cat>
          <c:val>
            <c:numRef>
              <c:f>Dashboard!$C$13:$C$48</c:f>
              <c:numCache>
                <c:formatCode>"MYR "#,##0;[Red]\("MYR "#,##0\);\-</c:formatCode>
                <c:ptCount val="36"/>
                <c:pt idx="0">
                  <c:v>-3528.0374999999999</c:v>
                </c:pt>
                <c:pt idx="1">
                  <c:v>-3427.3642499999996</c:v>
                </c:pt>
                <c:pt idx="2">
                  <c:v>-3292.1214150000005</c:v>
                </c:pt>
                <c:pt idx="3">
                  <c:v>-3115.6349217000002</c:v>
                </c:pt>
                <c:pt idx="4">
                  <c:v>-2890.014560046001</c:v>
                </c:pt>
                <c:pt idx="5">
                  <c:v>-2605.9346722210794</c:v>
                </c:pt>
                <c:pt idx="6">
                  <c:v>-2252.3753523316718</c:v>
                </c:pt>
                <c:pt idx="7">
                  <c:v>-1816.3170483483964</c:v>
                </c:pt>
                <c:pt idx="8">
                  <c:v>-1282.3801783295548</c:v>
                </c:pt>
                <c:pt idx="9">
                  <c:v>-632.3998631080849</c:v>
                </c:pt>
                <c:pt idx="10">
                  <c:v>155.07590399733454</c:v>
                </c:pt>
                <c:pt idx="11">
                  <c:v>1105.378432198404</c:v>
                </c:pt>
                <c:pt idx="12">
                  <c:v>2248.4171154605592</c:v>
                </c:pt>
                <c:pt idx="13">
                  <c:v>3619.5040116737309</c:v>
                </c:pt>
                <c:pt idx="14">
                  <c:v>5260.3268626780191</c:v>
                </c:pt>
                <c:pt idx="15">
                  <c:v>7220.0972749697103</c:v>
                </c:pt>
                <c:pt idx="16">
                  <c:v>9556.9055904965571</c:v>
                </c:pt>
                <c:pt idx="17">
                  <c:v>12339.31965226019</c:v>
                </c:pt>
                <c:pt idx="18">
                  <c:v>15648.271366308654</c:v>
                </c:pt>
                <c:pt idx="19">
                  <c:v>19579.282864003162</c:v>
                </c:pt>
                <c:pt idx="20">
                  <c:v>24245.093393158961</c:v>
                </c:pt>
                <c:pt idx="21">
                  <c:v>29778.75906982569</c:v>
                </c:pt>
                <c:pt idx="22">
                  <c:v>36337.31060620756</c:v>
                </c:pt>
                <c:pt idx="23">
                  <c:v>44106.069451032621</c:v>
                </c:pt>
                <c:pt idx="24">
                  <c:v>53303.740857234094</c:v>
                </c:pt>
                <c:pt idx="25">
                  <c:v>64188.42372450183</c:v>
                </c:pt>
                <c:pt idx="26">
                  <c:v>77064.702236842277</c:v>
                </c:pt>
                <c:pt idx="27">
                  <c:v>92292.014018930262</c:v>
                </c:pt>
                <c:pt idx="28">
                  <c:v>110294.52458533796</c:v>
                </c:pt>
                <c:pt idx="29">
                  <c:v>131572.77921608451</c:v>
                </c:pt>
                <c:pt idx="30">
                  <c:v>156717.45219598961</c:v>
                </c:pt>
                <c:pt idx="31">
                  <c:v>186425.57094408668</c:v>
                </c:pt>
                <c:pt idx="32">
                  <c:v>221519.66051409897</c:v>
                </c:pt>
                <c:pt idx="33">
                  <c:v>262970.33413358906</c:v>
                </c:pt>
                <c:pt idx="34">
                  <c:v>311922.95006958285</c:v>
                </c:pt>
                <c:pt idx="35">
                  <c:v>369729.0667603052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73-4D55-89CF-E9D37B8C7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MYR &quot;#,##0;[Red]\(&quot;MYR &quot;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3-Year Scenario Comparison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3-Year Revenue</c:v>
          </c:tx>
          <c:invertIfNegative val="1"/>
          <c:cat>
            <c:strRef>
              <c:f>Dashboard!$F$5:$F$7</c:f>
              <c:strCache>
                <c:ptCount val="3"/>
                <c:pt idx="0">
                  <c:v>Bear</c:v>
                </c:pt>
                <c:pt idx="1">
                  <c:v>Base</c:v>
                </c:pt>
                <c:pt idx="2">
                  <c:v>Bull</c:v>
                </c:pt>
              </c:strCache>
            </c:strRef>
          </c:cat>
          <c:val>
            <c:numRef>
              <c:f>Dashboard!$G$5:$G$7</c:f>
              <c:numCache>
                <c:formatCode>"MYR "#,##0;[Red]\("MYR "#,##0\);\-</c:formatCode>
                <c:ptCount val="3"/>
                <c:pt idx="0">
                  <c:v>232197.18263640915</c:v>
                </c:pt>
                <c:pt idx="1">
                  <c:v>4230319.9598175371</c:v>
                </c:pt>
                <c:pt idx="2">
                  <c:v>64875075.406072304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87-4728-8771-8069B4FB38FD}"/>
            </c:ext>
          </c:extLst>
        </c:ser>
        <c:ser>
          <c:idx val="1"/>
          <c:order val="1"/>
          <c:tx>
            <c:v>3-Year EBITDA</c:v>
          </c:tx>
          <c:invertIfNegative val="1"/>
          <c:cat>
            <c:strRef>
              <c:f>Dashboard!$F$5:$F$7</c:f>
              <c:strCache>
                <c:ptCount val="3"/>
                <c:pt idx="0">
                  <c:v>Bear</c:v>
                </c:pt>
                <c:pt idx="1">
                  <c:v>Base</c:v>
                </c:pt>
                <c:pt idx="2">
                  <c:v>Bull</c:v>
                </c:pt>
              </c:strCache>
            </c:strRef>
          </c:cat>
          <c:val>
            <c:numRef>
              <c:f>Dashboard!$H$5:$H$7</c:f>
              <c:numCache>
                <c:formatCode>"MYR "#,##0;[Red]\("MYR "#,##0\);\-</c:formatCode>
                <c:ptCount val="3"/>
                <c:pt idx="0">
                  <c:v>86109.295330952766</c:v>
                </c:pt>
                <c:pt idx="1">
                  <c:v>2224358.4510897696</c:v>
                </c:pt>
                <c:pt idx="2">
                  <c:v>62662423.143890135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87-4728-8771-8069B4FB3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MYR &quot;#,##0;[Red]\(&quot;MYR &quot;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10</xdr:row>
      <xdr:rowOff>0</xdr:rowOff>
    </xdr:from>
    <xdr:to>
      <xdr:col>11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29</xdr:row>
      <xdr:rowOff>0</xdr:rowOff>
    </xdr:from>
    <xdr:to>
      <xdr:col>11</xdr:col>
      <xdr:colOff>0</xdr:colOff>
      <xdr:row>48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ssumptionsTable" displayName="AssumptionsTable" ref="A4:H24">
  <tableColumns count="8">
    <tableColumn id="1" xr3:uid="{00000000-0010-0000-0000-000001000000}" name="Category"/>
    <tableColumn id="2" xr3:uid="{00000000-0010-0000-0000-000002000000}" name="Assumption"/>
    <tableColumn id="3" xr3:uid="{00000000-0010-0000-0000-000003000000}" name="Base Case"/>
    <tableColumn id="4" xr3:uid="{00000000-0010-0000-0000-000004000000}" name="Bear Case"/>
    <tableColumn id="5" xr3:uid="{00000000-0010-0000-0000-000005000000}" name="Bull Case"/>
    <tableColumn id="6" xr3:uid="{00000000-0010-0000-0000-000006000000}" name="Unit"/>
    <tableColumn id="7" xr3:uid="{00000000-0010-0000-0000-000007000000}" name="Source / Rationale"/>
    <tableColumn id="8" xr3:uid="{00000000-0010-0000-0000-000008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nnualSummaryTable" displayName="AnnualSummaryTable" ref="A4:E14">
  <tableColumns count="5">
    <tableColumn id="1" xr3:uid="{00000000-0010-0000-0100-000001000000}" name="Metric"/>
    <tableColumn id="2" xr3:uid="{00000000-0010-0000-0100-000002000000}" name="Year 1"/>
    <tableColumn id="3" xr3:uid="{00000000-0010-0000-0100-000003000000}" name="Year 2"/>
    <tableColumn id="4" xr3:uid="{00000000-0010-0000-0100-000004000000}" name="Year 3"/>
    <tableColumn id="5" xr3:uid="{00000000-0010-0000-0100-000005000000}" name="3-Year Tot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UnitEconomicsTable" displayName="UnitEconomicsTable" ref="A4:E13">
  <tableColumns count="5">
    <tableColumn id="1" xr3:uid="{00000000-0010-0000-0200-000001000000}" name="Metric"/>
    <tableColumn id="2" xr3:uid="{00000000-0010-0000-0200-000002000000}" name="Formula / Basis"/>
    <tableColumn id="3" xr3:uid="{00000000-0010-0000-0200-000003000000}" name="Value"/>
    <tableColumn id="4" xr3:uid="{00000000-0010-0000-0200-000004000000}" name="Unit"/>
    <tableColumn id="5" xr3:uid="{00000000-0010-0000-0200-000005000000}" name="Interpret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cenarioSummaryTable" displayName="ScenarioSummaryTable" ref="A4:D9">
  <tableColumns count="4">
    <tableColumn id="1" xr3:uid="{00000000-0010-0000-0300-000001000000}" name="Metric"/>
    <tableColumn id="2" xr3:uid="{00000000-0010-0000-0300-000002000000}" name="Bear"/>
    <tableColumn id="3" xr3:uid="{00000000-0010-0000-0300-000003000000}" name="Base"/>
    <tableColumn id="4" xr3:uid="{00000000-0010-0000-0300-000004000000}" name="Bul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hecksTable" displayName="ChecksTable" ref="A4:F10">
  <tableColumns count="6">
    <tableColumn id="1" xr3:uid="{00000000-0010-0000-0400-000001000000}" name="Check"/>
    <tableColumn id="2" xr3:uid="{00000000-0010-0000-0400-000002000000}" name="Actual"/>
    <tableColumn id="3" xr3:uid="{00000000-0010-0000-0400-000003000000}" name="Expected"/>
    <tableColumn id="4" xr3:uid="{00000000-0010-0000-0400-000004000000}" name="Difference"/>
    <tableColumn id="5" xr3:uid="{00000000-0010-0000-0400-000005000000}" name="Status"/>
    <tableColumn id="6" xr3:uid="{00000000-0010-0000-0400-00000600000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ourcesTable" displayName="SourcesTable" ref="A4:F12">
  <tableColumns count="6">
    <tableColumn id="1" xr3:uid="{00000000-0010-0000-0500-000001000000}" name="Item"/>
    <tableColumn id="2" xr3:uid="{00000000-0010-0000-0500-000002000000}" name="Value / Area"/>
    <tableColumn id="3" xr3:uid="{00000000-0010-0000-0500-000003000000}" name="Units"/>
    <tableColumn id="4" xr3:uid="{00000000-0010-0000-0500-000004000000}" name="Source Type"/>
    <tableColumn id="5" xr3:uid="{00000000-0010-0000-0500-000005000000}" name="Notes"/>
    <tableColumn id="6" xr3:uid="{00000000-0010-0000-0500-000006000000}" name="Own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"/>
  <sheetViews>
    <sheetView showGridLines="0" tabSelected="1" workbookViewId="0">
      <selection activeCell="B13" sqref="B13"/>
    </sheetView>
  </sheetViews>
  <sheetFormatPr defaultRowHeight="14.25"/>
  <cols>
    <col min="1" max="1" width="26.25" customWidth="1"/>
    <col min="2" max="4" width="15" customWidth="1"/>
    <col min="5" max="5" width="5" customWidth="1"/>
    <col min="6" max="8" width="21.25" customWidth="1"/>
    <col min="9" max="9" width="5" customWidth="1"/>
    <col min="10" max="11" width="21.25" customWidth="1"/>
  </cols>
  <sheetData>
    <row r="1" spans="1:11" ht="31.5" customHeight="1">
      <c r="A1" s="46" t="s">
        <v>0</v>
      </c>
      <c r="B1" s="46" t="s">
        <v>0</v>
      </c>
      <c r="C1" s="46" t="s">
        <v>0</v>
      </c>
      <c r="D1" s="46" t="s">
        <v>0</v>
      </c>
      <c r="E1" s="46" t="s">
        <v>0</v>
      </c>
      <c r="F1" s="46" t="s">
        <v>0</v>
      </c>
      <c r="G1" s="46" t="s">
        <v>0</v>
      </c>
      <c r="H1" s="46" t="s">
        <v>0</v>
      </c>
      <c r="I1" s="46" t="s">
        <v>0</v>
      </c>
      <c r="J1" s="46" t="s">
        <v>0</v>
      </c>
      <c r="K1" s="46" t="s">
        <v>0</v>
      </c>
    </row>
    <row r="2" spans="1:11" ht="15">
      <c r="A2" s="47" t="s">
        <v>1</v>
      </c>
      <c r="B2" s="48"/>
      <c r="C2" s="48"/>
      <c r="D2" s="48"/>
      <c r="E2" s="48"/>
      <c r="F2" s="48"/>
      <c r="G2" s="48"/>
      <c r="H2" s="48"/>
      <c r="I2" s="4"/>
      <c r="J2" s="4"/>
      <c r="K2" s="4"/>
    </row>
    <row r="3" spans="1:11" ht="15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ht="15">
      <c r="A4" s="1" t="s">
        <v>2</v>
      </c>
      <c r="B4" s="2" t="s">
        <v>3</v>
      </c>
      <c r="C4" s="2" t="s">
        <v>4</v>
      </c>
      <c r="D4" s="3" t="s">
        <v>5</v>
      </c>
      <c r="E4" s="4"/>
      <c r="F4" s="1" t="s">
        <v>6</v>
      </c>
      <c r="G4" s="2" t="s">
        <v>7</v>
      </c>
      <c r="H4" s="3" t="s">
        <v>8</v>
      </c>
      <c r="I4" s="4"/>
      <c r="J4" s="4"/>
      <c r="K4" s="4"/>
    </row>
    <row r="5" spans="1:11" ht="15">
      <c r="A5" s="5" t="s">
        <v>9</v>
      </c>
      <c r="B5" s="6">
        <f>'Annual Summary'!B7</f>
        <v>68901.535850154149</v>
      </c>
      <c r="C5" s="6">
        <f>'Annual Summary'!C7</f>
        <v>502126.32452027523</v>
      </c>
      <c r="D5" s="7">
        <f>'Annual Summary'!D7</f>
        <v>3659292.0994471074</v>
      </c>
      <c r="E5" s="4"/>
      <c r="F5" s="5" t="str">
        <f>"Bear"</f>
        <v>Bear</v>
      </c>
      <c r="G5" s="6">
        <f>Scenarios!B8</f>
        <v>232197.18263640915</v>
      </c>
      <c r="H5" s="7">
        <f>Scenarios!B9</f>
        <v>86109.295330952766</v>
      </c>
      <c r="I5" s="4"/>
      <c r="J5" s="4"/>
      <c r="K5" s="4"/>
    </row>
    <row r="6" spans="1:11" ht="15">
      <c r="A6" s="8" t="s">
        <v>10</v>
      </c>
      <c r="B6" s="9">
        <f>'Annual Summary'!B12</f>
        <v>-23582.12542488904</v>
      </c>
      <c r="C6" s="9">
        <f>'Annual Summary'!C12</f>
        <v>209939.35725807541</v>
      </c>
      <c r="D6" s="10">
        <f>'Annual Summary'!D12</f>
        <v>2038001.2192565831</v>
      </c>
      <c r="E6" s="4"/>
      <c r="F6" s="8" t="str">
        <f>"Base"</f>
        <v>Base</v>
      </c>
      <c r="G6" s="9">
        <f>Scenarios!C8</f>
        <v>4230319.9598175371</v>
      </c>
      <c r="H6" s="10">
        <f>Scenarios!C9</f>
        <v>2224358.4510897696</v>
      </c>
      <c r="I6" s="4"/>
      <c r="J6" s="4"/>
      <c r="K6" s="4"/>
    </row>
    <row r="7" spans="1:11" ht="15">
      <c r="A7" s="8" t="s">
        <v>11</v>
      </c>
      <c r="B7" s="9">
        <f>'Annual Summary'!B14</f>
        <v>-13582.125424889049</v>
      </c>
      <c r="C7" s="9">
        <f>'Annual Summary'!C14</f>
        <v>196357.23183318635</v>
      </c>
      <c r="D7" s="10">
        <f>'Annual Summary'!D14</f>
        <v>2234358.4510897696</v>
      </c>
      <c r="E7" s="4"/>
      <c r="F7" s="11" t="str">
        <f>"Bull"</f>
        <v>Bull</v>
      </c>
      <c r="G7" s="12">
        <f>Scenarios!D8</f>
        <v>64875075.406072304</v>
      </c>
      <c r="H7" s="13">
        <f>Scenarios!D9</f>
        <v>62662423.143890135</v>
      </c>
      <c r="I7" s="4"/>
      <c r="J7" s="4"/>
      <c r="K7" s="4"/>
    </row>
    <row r="8" spans="1:11" ht="15">
      <c r="A8" s="8" t="s">
        <v>12</v>
      </c>
      <c r="B8" s="14">
        <f>'Annual Summary'!B6</f>
        <v>941.96432344481229</v>
      </c>
      <c r="C8" s="14">
        <f>'Annual Summary'!C6</f>
        <v>7518.2270068047374</v>
      </c>
      <c r="D8" s="15">
        <f>'Annual Summary'!D6</f>
        <v>55243.253536419194</v>
      </c>
      <c r="E8" s="4"/>
      <c r="F8" s="4"/>
      <c r="G8" s="4"/>
      <c r="H8" s="4"/>
      <c r="I8" s="4"/>
      <c r="J8" s="4"/>
      <c r="K8" s="4"/>
    </row>
    <row r="9" spans="1:11" ht="15">
      <c r="A9" s="11" t="s">
        <v>13</v>
      </c>
      <c r="B9" s="16">
        <f>'Annual Summary'!B10</f>
        <v>0.87883027814524994</v>
      </c>
      <c r="C9" s="16">
        <f>'Annual Summary'!C10</f>
        <v>0.86397410232211724</v>
      </c>
      <c r="D9" s="17">
        <f>'Annual Summary'!D10</f>
        <v>0.86255966484752911</v>
      </c>
      <c r="E9" s="4"/>
      <c r="F9" s="4"/>
      <c r="G9" s="4"/>
      <c r="H9" s="4"/>
      <c r="I9" s="4"/>
      <c r="J9" s="4"/>
      <c r="K9" s="4"/>
    </row>
    <row r="10" spans="1:11" ht="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ht="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ht="15">
      <c r="A12" s="1" t="s">
        <v>14</v>
      </c>
      <c r="B12" s="2" t="s">
        <v>15</v>
      </c>
      <c r="C12" s="3" t="s">
        <v>10</v>
      </c>
      <c r="D12" s="4"/>
      <c r="E12" s="4"/>
      <c r="F12" s="4"/>
      <c r="G12" s="4"/>
      <c r="H12" s="4"/>
      <c r="I12" s="4"/>
      <c r="J12" s="4"/>
      <c r="K12" s="4"/>
    </row>
    <row r="13" spans="1:11" ht="15">
      <c r="A13" s="4" t="str">
        <f>"M1"</f>
        <v>M1</v>
      </c>
      <c r="B13" s="18">
        <f>'Monthly Model'!D20</f>
        <v>1972.5</v>
      </c>
      <c r="C13" s="18">
        <f>'Monthly Model'!D40</f>
        <v>-3528.0374999999999</v>
      </c>
      <c r="D13" s="4"/>
      <c r="E13" s="4"/>
      <c r="F13" s="4"/>
      <c r="G13" s="4"/>
      <c r="H13" s="4"/>
      <c r="I13" s="4"/>
      <c r="J13" s="4"/>
      <c r="K13" s="4"/>
    </row>
    <row r="14" spans="1:11" ht="15">
      <c r="A14" s="4" t="str">
        <f>"M2"</f>
        <v>M2</v>
      </c>
      <c r="B14" s="18">
        <f>'Monthly Model'!E20</f>
        <v>2327.5500000000002</v>
      </c>
      <c r="C14" s="18">
        <f>'Monthly Model'!E40</f>
        <v>-3427.3642499999996</v>
      </c>
      <c r="D14" s="4"/>
      <c r="E14" s="4"/>
      <c r="F14" s="4"/>
      <c r="G14" s="4"/>
      <c r="H14" s="4"/>
      <c r="I14" s="4"/>
      <c r="J14" s="4"/>
      <c r="K14" s="4"/>
    </row>
    <row r="15" spans="1:11" ht="15">
      <c r="A15" s="4" t="str">
        <f>"M3"</f>
        <v>M3</v>
      </c>
      <c r="B15" s="18">
        <f>'Monthly Model'!F20</f>
        <v>2746.509</v>
      </c>
      <c r="C15" s="18">
        <f>'Monthly Model'!F40</f>
        <v>-3292.1214150000005</v>
      </c>
      <c r="D15" s="4"/>
      <c r="E15" s="4"/>
      <c r="F15" s="4"/>
      <c r="G15" s="4"/>
      <c r="H15" s="4"/>
      <c r="I15" s="4"/>
      <c r="J15" s="4"/>
      <c r="K15" s="4"/>
    </row>
    <row r="16" spans="1:11" ht="15">
      <c r="A16" s="4" t="str">
        <f>"M4"</f>
        <v>M4</v>
      </c>
      <c r="B16" s="18">
        <f>'Monthly Model'!G20</f>
        <v>3240.8806199999999</v>
      </c>
      <c r="C16" s="18">
        <f>'Monthly Model'!G40</f>
        <v>-3115.6349217000002</v>
      </c>
      <c r="D16" s="4"/>
      <c r="E16" s="4"/>
      <c r="F16" s="4"/>
      <c r="G16" s="4"/>
      <c r="H16" s="4"/>
      <c r="I16" s="4"/>
      <c r="J16" s="4"/>
      <c r="K16" s="4"/>
    </row>
    <row r="17" spans="1:11" ht="15">
      <c r="A17" s="4" t="str">
        <f>"M5"</f>
        <v>M5</v>
      </c>
      <c r="B17" s="18">
        <f>'Monthly Model'!H20</f>
        <v>3824.2391315999989</v>
      </c>
      <c r="C17" s="18">
        <f>'Monthly Model'!H40</f>
        <v>-2890.014560046001</v>
      </c>
      <c r="D17" s="4"/>
      <c r="E17" s="4"/>
      <c r="F17" s="4"/>
      <c r="G17" s="4"/>
      <c r="H17" s="4"/>
      <c r="I17" s="4"/>
      <c r="J17" s="4"/>
      <c r="K17" s="4"/>
    </row>
    <row r="18" spans="1:11" ht="15">
      <c r="A18" s="4" t="str">
        <f>"M6"</f>
        <v>M6</v>
      </c>
      <c r="B18" s="18">
        <f>'Monthly Model'!I20</f>
        <v>4512.6021752879997</v>
      </c>
      <c r="C18" s="18">
        <f>'Monthly Model'!I40</f>
        <v>-2605.9346722210794</v>
      </c>
      <c r="D18" s="4"/>
      <c r="E18" s="4"/>
      <c r="F18" s="4"/>
      <c r="G18" s="4"/>
      <c r="H18" s="4"/>
      <c r="I18" s="4"/>
      <c r="J18" s="4"/>
      <c r="K18" s="4"/>
    </row>
    <row r="19" spans="1:11" ht="15">
      <c r="A19" s="4" t="str">
        <f>"M7"</f>
        <v>M7</v>
      </c>
      <c r="B19" s="18">
        <f>'Monthly Model'!J20</f>
        <v>5324.8705668398388</v>
      </c>
      <c r="C19" s="18">
        <f>'Monthly Model'!J40</f>
        <v>-2252.3753523316718</v>
      </c>
      <c r="D19" s="4"/>
      <c r="E19" s="4"/>
      <c r="F19" s="4"/>
      <c r="G19" s="4"/>
      <c r="H19" s="4"/>
      <c r="I19" s="4"/>
      <c r="J19" s="4"/>
      <c r="K19" s="4"/>
    </row>
    <row r="20" spans="1:11" ht="15">
      <c r="A20" s="4" t="str">
        <f>"M8"</f>
        <v>M8</v>
      </c>
      <c r="B20" s="18">
        <f>'Monthly Model'!K20</f>
        <v>6283.347268871009</v>
      </c>
      <c r="C20" s="18">
        <f>'Monthly Model'!K40</f>
        <v>-1816.3170483483964</v>
      </c>
      <c r="D20" s="4"/>
      <c r="E20" s="4"/>
      <c r="F20" s="4"/>
      <c r="G20" s="4"/>
      <c r="H20" s="4"/>
      <c r="I20" s="4"/>
      <c r="J20" s="4"/>
      <c r="K20" s="4"/>
    </row>
    <row r="21" spans="1:11" ht="15">
      <c r="A21" s="4" t="str">
        <f>"M9"</f>
        <v>M9</v>
      </c>
      <c r="B21" s="18">
        <f>'Monthly Model'!L20</f>
        <v>7414.3497772677902</v>
      </c>
      <c r="C21" s="18">
        <f>'Monthly Model'!L40</f>
        <v>-1282.3801783295548</v>
      </c>
      <c r="D21" s="4"/>
      <c r="E21" s="4"/>
      <c r="F21" s="4"/>
      <c r="G21" s="4"/>
      <c r="H21" s="4"/>
      <c r="I21" s="4"/>
      <c r="J21" s="4"/>
      <c r="K21" s="4"/>
    </row>
    <row r="22" spans="1:11" ht="15">
      <c r="A22" s="4" t="str">
        <f>"M10"</f>
        <v>M10</v>
      </c>
      <c r="B22" s="18">
        <f>'Monthly Model'!M20</f>
        <v>8748.9327371759937</v>
      </c>
      <c r="C22" s="18">
        <f>'Monthly Model'!M40</f>
        <v>-632.3998631080849</v>
      </c>
      <c r="D22" s="4"/>
      <c r="E22" s="4"/>
      <c r="F22" s="4"/>
      <c r="G22" s="4"/>
      <c r="H22" s="4"/>
      <c r="I22" s="4"/>
      <c r="J22" s="4"/>
      <c r="K22" s="4"/>
    </row>
    <row r="23" spans="1:11" ht="15">
      <c r="A23" s="4" t="str">
        <f>"M11"</f>
        <v>M11</v>
      </c>
      <c r="B23" s="18">
        <f>'Monthly Model'!N20</f>
        <v>10323.740629867672</v>
      </c>
      <c r="C23" s="18">
        <f>'Monthly Model'!N40</f>
        <v>155.07590399733454</v>
      </c>
      <c r="D23" s="4"/>
      <c r="E23" s="4"/>
      <c r="F23" s="4"/>
      <c r="G23" s="4"/>
      <c r="H23" s="4"/>
      <c r="I23" s="4"/>
      <c r="J23" s="4"/>
      <c r="K23" s="4"/>
    </row>
    <row r="24" spans="1:11" ht="15">
      <c r="A24" s="4" t="str">
        <f>"M12"</f>
        <v>M12</v>
      </c>
      <c r="B24" s="18">
        <f>'Monthly Model'!O20</f>
        <v>12182.013943243852</v>
      </c>
      <c r="C24" s="18">
        <f>'Monthly Model'!O40</f>
        <v>1105.378432198404</v>
      </c>
      <c r="D24" s="4"/>
      <c r="E24" s="4"/>
      <c r="F24" s="4"/>
      <c r="G24" s="4"/>
      <c r="H24" s="4"/>
      <c r="I24" s="4"/>
      <c r="J24" s="4"/>
      <c r="K24" s="4"/>
    </row>
    <row r="25" spans="1:11" ht="15">
      <c r="A25" s="4" t="str">
        <f>"M13"</f>
        <v>M13</v>
      </c>
      <c r="B25" s="18">
        <f>'Monthly Model'!P20</f>
        <v>14374.776453027745</v>
      </c>
      <c r="C25" s="18">
        <f>'Monthly Model'!P40</f>
        <v>2248.4171154605592</v>
      </c>
      <c r="D25" s="4"/>
      <c r="E25" s="4"/>
      <c r="F25" s="4"/>
      <c r="G25" s="4"/>
      <c r="H25" s="4"/>
      <c r="I25" s="4"/>
      <c r="J25" s="4"/>
      <c r="K25" s="4"/>
    </row>
    <row r="26" spans="1:11" ht="15">
      <c r="A26" s="4" t="str">
        <f>"M14"</f>
        <v>M14</v>
      </c>
      <c r="B26" s="18">
        <f>'Monthly Model'!Q20</f>
        <v>16962.236214572738</v>
      </c>
      <c r="C26" s="18">
        <f>'Monthly Model'!Q40</f>
        <v>3619.5040116737309</v>
      </c>
      <c r="D26" s="4"/>
      <c r="E26" s="4"/>
      <c r="F26" s="4"/>
      <c r="G26" s="4"/>
      <c r="H26" s="4"/>
      <c r="I26" s="4"/>
      <c r="J26" s="4"/>
      <c r="K26" s="4"/>
    </row>
    <row r="27" spans="1:11" ht="15">
      <c r="A27" s="4" t="str">
        <f>"M15"</f>
        <v>M15</v>
      </c>
      <c r="B27" s="18">
        <f>'Monthly Model'!R20</f>
        <v>20015.438733195831</v>
      </c>
      <c r="C27" s="18">
        <f>'Monthly Model'!R40</f>
        <v>5260.3268626780191</v>
      </c>
      <c r="D27" s="4"/>
      <c r="E27" s="4"/>
      <c r="F27" s="4"/>
      <c r="G27" s="4"/>
      <c r="H27" s="4"/>
      <c r="I27" s="4"/>
      <c r="J27" s="4"/>
      <c r="K27" s="4"/>
    </row>
    <row r="28" spans="1:11" ht="15">
      <c r="A28" s="4" t="str">
        <f>"M16"</f>
        <v>M16</v>
      </c>
      <c r="B28" s="18">
        <f>'Monthly Model'!S20</f>
        <v>23618.217705171079</v>
      </c>
      <c r="C28" s="18">
        <f>'Monthly Model'!S40</f>
        <v>7220.0972749697103</v>
      </c>
      <c r="D28" s="4"/>
      <c r="E28" s="4"/>
      <c r="F28" s="4"/>
      <c r="G28" s="4"/>
      <c r="H28" s="4"/>
      <c r="I28" s="4"/>
      <c r="J28" s="4"/>
      <c r="K28" s="4"/>
    </row>
    <row r="29" spans="1:11" ht="15">
      <c r="A29" s="4" t="str">
        <f>"M17"</f>
        <v>M17</v>
      </c>
      <c r="B29" s="18">
        <f>'Monthly Model'!T20</f>
        <v>27869.496892101874</v>
      </c>
      <c r="C29" s="18">
        <f>'Monthly Model'!T40</f>
        <v>9556.9055904965571</v>
      </c>
      <c r="D29" s="4"/>
      <c r="E29" s="4"/>
      <c r="F29" s="4"/>
      <c r="G29" s="4"/>
      <c r="H29" s="4"/>
      <c r="I29" s="4"/>
      <c r="J29" s="4"/>
      <c r="K29" s="4"/>
    </row>
    <row r="30" spans="1:11" ht="15">
      <c r="A30" s="4" t="str">
        <f>"M18"</f>
        <v>M18</v>
      </c>
      <c r="B30" s="18">
        <f>'Monthly Model'!U20</f>
        <v>32886.006332680212</v>
      </c>
      <c r="C30" s="18">
        <f>'Monthly Model'!U40</f>
        <v>12339.31965226019</v>
      </c>
      <c r="D30" s="4"/>
      <c r="E30" s="4"/>
      <c r="F30" s="4"/>
      <c r="G30" s="4"/>
      <c r="H30" s="4"/>
      <c r="I30" s="4"/>
      <c r="J30" s="4"/>
      <c r="K30" s="4"/>
    </row>
    <row r="31" spans="1:11" ht="15">
      <c r="A31" s="4" t="str">
        <f>"M19"</f>
        <v>M19</v>
      </c>
      <c r="B31" s="18">
        <f>'Monthly Model'!V20</f>
        <v>38805.487472562643</v>
      </c>
      <c r="C31" s="18">
        <f>'Monthly Model'!V40</f>
        <v>15648.271366308654</v>
      </c>
      <c r="D31" s="4"/>
      <c r="E31" s="4"/>
      <c r="F31" s="4"/>
      <c r="G31" s="4"/>
      <c r="H31" s="4"/>
      <c r="I31" s="4"/>
      <c r="J31" s="4"/>
      <c r="K31" s="4"/>
    </row>
    <row r="32" spans="1:11" ht="15">
      <c r="A32" s="4" t="str">
        <f>"M20"</f>
        <v>M20</v>
      </c>
      <c r="B32" s="18">
        <f>'Monthly Model'!W20</f>
        <v>45790.47521762392</v>
      </c>
      <c r="C32" s="18">
        <f>'Monthly Model'!W40</f>
        <v>19579.282864003162</v>
      </c>
      <c r="D32" s="4"/>
      <c r="E32" s="4"/>
      <c r="F32" s="4"/>
      <c r="G32" s="4"/>
      <c r="H32" s="4"/>
      <c r="I32" s="4"/>
      <c r="J32" s="4"/>
      <c r="K32" s="4"/>
    </row>
    <row r="33" spans="1:11" ht="15">
      <c r="A33" s="4" t="str">
        <f>"M21"</f>
        <v>M21</v>
      </c>
      <c r="B33" s="18">
        <f>'Monthly Model'!X20</f>
        <v>54032.760756796219</v>
      </c>
      <c r="C33" s="18">
        <f>'Monthly Model'!X40</f>
        <v>24245.093393158961</v>
      </c>
      <c r="D33" s="4"/>
      <c r="E33" s="4"/>
      <c r="F33" s="4"/>
      <c r="G33" s="4"/>
      <c r="H33" s="4"/>
      <c r="I33" s="4"/>
      <c r="J33" s="4"/>
      <c r="K33" s="4"/>
    </row>
    <row r="34" spans="1:11" ht="15">
      <c r="A34" s="4" t="str">
        <f>"M22"</f>
        <v>M22</v>
      </c>
      <c r="B34" s="18">
        <f>'Monthly Model'!Y20</f>
        <v>63758.657693019544</v>
      </c>
      <c r="C34" s="18">
        <f>'Monthly Model'!Y40</f>
        <v>29778.75906982569</v>
      </c>
      <c r="D34" s="4"/>
      <c r="E34" s="4"/>
      <c r="F34" s="4"/>
      <c r="G34" s="4"/>
      <c r="H34" s="4"/>
      <c r="I34" s="4"/>
      <c r="J34" s="4"/>
      <c r="K34" s="4"/>
    </row>
    <row r="35" spans="1:11" ht="15">
      <c r="A35" s="4" t="str">
        <f>"M23"</f>
        <v>M23</v>
      </c>
      <c r="B35" s="18">
        <f>'Monthly Model'!Z20</f>
        <v>75235.216077763049</v>
      </c>
      <c r="C35" s="18">
        <f>'Monthly Model'!Z40</f>
        <v>36337.31060620756</v>
      </c>
      <c r="D35" s="4"/>
      <c r="E35" s="4"/>
      <c r="F35" s="4"/>
      <c r="G35" s="4"/>
      <c r="H35" s="4"/>
      <c r="I35" s="4"/>
      <c r="J35" s="4"/>
      <c r="K35" s="4"/>
    </row>
    <row r="36" spans="1:11" ht="15">
      <c r="A36" s="4" t="str">
        <f>"M24"</f>
        <v>M24</v>
      </c>
      <c r="B36" s="18">
        <f>'Monthly Model'!AA20</f>
        <v>88777.554971760401</v>
      </c>
      <c r="C36" s="18">
        <f>'Monthly Model'!AA40</f>
        <v>44106.069451032621</v>
      </c>
      <c r="D36" s="4"/>
      <c r="E36" s="4"/>
      <c r="F36" s="4"/>
      <c r="G36" s="4"/>
      <c r="H36" s="4"/>
      <c r="I36" s="4"/>
      <c r="J36" s="4"/>
      <c r="K36" s="4"/>
    </row>
    <row r="37" spans="1:11" ht="15">
      <c r="A37" s="4" t="str">
        <f>"M25"</f>
        <v>M25</v>
      </c>
      <c r="B37" s="18">
        <f>'Monthly Model'!AB20</f>
        <v>104757.51486667727</v>
      </c>
      <c r="C37" s="18">
        <f>'Monthly Model'!AB40</f>
        <v>53303.740857234094</v>
      </c>
      <c r="D37" s="4"/>
      <c r="E37" s="4"/>
      <c r="F37" s="4"/>
      <c r="G37" s="4"/>
      <c r="H37" s="4"/>
      <c r="I37" s="4"/>
      <c r="J37" s="4"/>
      <c r="K37" s="4"/>
    </row>
    <row r="38" spans="1:11" ht="15">
      <c r="A38" s="4" t="str">
        <f>"M26"</f>
        <v>M26</v>
      </c>
      <c r="B38" s="18">
        <f>'Monthly Model'!AC20</f>
        <v>123613.86754267917</v>
      </c>
      <c r="C38" s="18">
        <f>'Monthly Model'!AC40</f>
        <v>64188.42372450183</v>
      </c>
      <c r="D38" s="4"/>
      <c r="E38" s="4"/>
      <c r="F38" s="4"/>
      <c r="G38" s="4"/>
      <c r="H38" s="4"/>
      <c r="I38" s="4"/>
      <c r="J38" s="4"/>
      <c r="K38" s="4"/>
    </row>
    <row r="39" spans="1:11" ht="15">
      <c r="A39" s="4" t="str">
        <f>"M27"</f>
        <v>M27</v>
      </c>
      <c r="B39" s="18">
        <f>'Monthly Model'!AD20</f>
        <v>145864.3637003614</v>
      </c>
      <c r="C39" s="18">
        <f>'Monthly Model'!AD40</f>
        <v>77064.702236842277</v>
      </c>
      <c r="D39" s="4"/>
      <c r="E39" s="4"/>
      <c r="F39" s="4"/>
      <c r="G39" s="4"/>
      <c r="H39" s="4"/>
      <c r="I39" s="4"/>
      <c r="J39" s="4"/>
      <c r="K39" s="4"/>
    </row>
    <row r="40" spans="1:11" ht="15">
      <c r="A40" s="4" t="str">
        <f>"M28"</f>
        <v>M28</v>
      </c>
      <c r="B40" s="18">
        <f>'Monthly Model'!AE20</f>
        <v>172119.94916642646</v>
      </c>
      <c r="C40" s="18">
        <f>'Monthly Model'!AE40</f>
        <v>92292.014018930262</v>
      </c>
      <c r="D40" s="4"/>
      <c r="E40" s="4"/>
      <c r="F40" s="4"/>
      <c r="G40" s="4"/>
      <c r="H40" s="4"/>
      <c r="I40" s="4"/>
      <c r="J40" s="4"/>
      <c r="K40" s="4"/>
    </row>
    <row r="41" spans="1:11" ht="15">
      <c r="A41" s="4" t="str">
        <f>"M29"</f>
        <v>M29</v>
      </c>
      <c r="B41" s="18">
        <f>'Monthly Model'!AF20</f>
        <v>203101.54001638322</v>
      </c>
      <c r="C41" s="18">
        <f>'Monthly Model'!AF40</f>
        <v>110294.52458533796</v>
      </c>
      <c r="D41" s="4"/>
      <c r="E41" s="4"/>
      <c r="F41" s="4"/>
      <c r="G41" s="4"/>
      <c r="H41" s="4"/>
      <c r="I41" s="4"/>
      <c r="J41" s="4"/>
      <c r="K41" s="4"/>
    </row>
    <row r="42" spans="1:11" ht="15">
      <c r="A42" s="4" t="str">
        <f>"M30"</f>
        <v>M30</v>
      </c>
      <c r="B42" s="18">
        <f>'Monthly Model'!AG20</f>
        <v>239659.81721933218</v>
      </c>
      <c r="C42" s="18">
        <f>'Monthly Model'!AG40</f>
        <v>131572.77921608451</v>
      </c>
      <c r="D42" s="4"/>
      <c r="E42" s="4"/>
      <c r="F42" s="4"/>
      <c r="G42" s="4"/>
      <c r="H42" s="4"/>
      <c r="I42" s="4"/>
      <c r="J42" s="4"/>
      <c r="K42" s="4"/>
    </row>
    <row r="43" spans="1:11" ht="15">
      <c r="A43" s="4" t="str">
        <f>"M31"</f>
        <v>M31</v>
      </c>
      <c r="B43" s="18">
        <f>'Monthly Model'!AH20</f>
        <v>282798.58431881195</v>
      </c>
      <c r="C43" s="18">
        <f>'Monthly Model'!AH40</f>
        <v>156717.45219598961</v>
      </c>
      <c r="D43" s="4"/>
      <c r="E43" s="4"/>
      <c r="F43" s="4"/>
      <c r="G43" s="4"/>
      <c r="H43" s="4"/>
      <c r="I43" s="4"/>
      <c r="J43" s="4"/>
      <c r="K43" s="4"/>
    </row>
    <row r="44" spans="1:11" ht="15">
      <c r="A44" s="4" t="str">
        <f>"M32"</f>
        <v>M32</v>
      </c>
      <c r="B44" s="18">
        <f>'Monthly Model'!AI20</f>
        <v>333702.32949619816</v>
      </c>
      <c r="C44" s="18">
        <f>'Monthly Model'!AI40</f>
        <v>186425.57094408668</v>
      </c>
      <c r="D44" s="4"/>
      <c r="E44" s="4"/>
      <c r="F44" s="4"/>
      <c r="G44" s="4"/>
      <c r="H44" s="4"/>
      <c r="I44" s="4"/>
      <c r="J44" s="4"/>
      <c r="K44" s="4"/>
    </row>
    <row r="45" spans="1:11" ht="15">
      <c r="A45" s="4" t="str">
        <f>"M33"</f>
        <v>M33</v>
      </c>
      <c r="B45" s="18">
        <f>'Monthly Model'!AJ20</f>
        <v>393768.74880551372</v>
      </c>
      <c r="C45" s="18">
        <f>'Monthly Model'!AJ40</f>
        <v>221519.66051409897</v>
      </c>
      <c r="D45" s="4"/>
      <c r="E45" s="4"/>
      <c r="F45" s="4"/>
      <c r="G45" s="4"/>
      <c r="H45" s="4"/>
      <c r="I45" s="4"/>
      <c r="J45" s="4"/>
      <c r="K45" s="4"/>
    </row>
    <row r="46" spans="1:11" ht="15">
      <c r="A46" s="4" t="str">
        <f>"M34"</f>
        <v>M34</v>
      </c>
      <c r="B46" s="18">
        <f>'Monthly Model'!AK20</f>
        <v>464647.12359050615</v>
      </c>
      <c r="C46" s="18">
        <f>'Monthly Model'!AK40</f>
        <v>262970.33413358906</v>
      </c>
      <c r="D46" s="4"/>
      <c r="E46" s="4"/>
      <c r="F46" s="4"/>
      <c r="G46" s="4"/>
      <c r="H46" s="4"/>
      <c r="I46" s="4"/>
      <c r="J46" s="4"/>
      <c r="K46" s="4"/>
    </row>
    <row r="47" spans="1:11" ht="15">
      <c r="A47" s="4" t="str">
        <f>"M35"</f>
        <v>M35</v>
      </c>
      <c r="B47" s="18">
        <f>'Monthly Model'!AL20</f>
        <v>548283.60583679727</v>
      </c>
      <c r="C47" s="18">
        <f>'Monthly Model'!AL40</f>
        <v>311922.95006958285</v>
      </c>
      <c r="D47" s="4"/>
      <c r="E47" s="4"/>
      <c r="F47" s="4"/>
      <c r="G47" s="4"/>
      <c r="H47" s="4"/>
      <c r="I47" s="4"/>
      <c r="J47" s="4"/>
      <c r="K47" s="4"/>
    </row>
    <row r="48" spans="1:11" ht="15">
      <c r="A48" s="4" t="str">
        <f>"M36"</f>
        <v>M36</v>
      </c>
      <c r="B48" s="18">
        <f>'Monthly Model'!AM20</f>
        <v>646974.65488742071</v>
      </c>
      <c r="C48" s="18">
        <f>'Monthly Model'!AM40</f>
        <v>369729.0667603052</v>
      </c>
      <c r="D48" s="4"/>
      <c r="E48" s="4"/>
      <c r="F48" s="4"/>
      <c r="G48" s="4"/>
      <c r="H48" s="4"/>
      <c r="I48" s="4"/>
      <c r="J48" s="4"/>
      <c r="K48" s="4"/>
    </row>
  </sheetData>
  <mergeCells count="2">
    <mergeCell ref="A1:K1"/>
    <mergeCell ref="A2:H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showGridLines="0" workbookViewId="0">
      <selection activeCell="E5" sqref="E5"/>
    </sheetView>
  </sheetViews>
  <sheetFormatPr defaultRowHeight="14.25"/>
  <cols>
    <col min="1" max="1" width="28.75" customWidth="1"/>
    <col min="2" max="3" width="15" customWidth="1"/>
    <col min="4" max="5" width="18.75" customWidth="1"/>
    <col min="6" max="6" width="22.5" customWidth="1"/>
    <col min="7" max="7" width="25" customWidth="1"/>
    <col min="8" max="8" width="27.5" customWidth="1"/>
  </cols>
  <sheetData>
    <row r="1" spans="1:8" ht="31.5" customHeight="1">
      <c r="A1" s="49" t="s">
        <v>16</v>
      </c>
      <c r="B1" s="49" t="s">
        <v>16</v>
      </c>
      <c r="C1" s="49" t="s">
        <v>16</v>
      </c>
      <c r="D1" s="49" t="s">
        <v>16</v>
      </c>
      <c r="E1" s="49" t="s">
        <v>16</v>
      </c>
      <c r="F1" s="49" t="s">
        <v>16</v>
      </c>
      <c r="G1" s="49" t="s">
        <v>16</v>
      </c>
      <c r="H1" s="49" t="s">
        <v>16</v>
      </c>
    </row>
    <row r="2" spans="1:8" ht="15">
      <c r="A2" s="47" t="s">
        <v>17</v>
      </c>
      <c r="B2" s="48"/>
      <c r="C2" s="48"/>
      <c r="D2" s="48"/>
      <c r="E2" s="48"/>
      <c r="F2" s="48"/>
      <c r="G2" s="48"/>
      <c r="H2" s="48"/>
    </row>
    <row r="3" spans="1:8" ht="15">
      <c r="A3" s="4"/>
      <c r="B3" s="4"/>
      <c r="C3" s="4"/>
      <c r="D3" s="4"/>
      <c r="E3" s="4"/>
      <c r="F3" s="4"/>
      <c r="G3" s="4"/>
      <c r="H3" s="4"/>
    </row>
    <row r="4" spans="1:8" ht="15">
      <c r="A4" s="1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3" t="s">
        <v>25</v>
      </c>
    </row>
    <row r="5" spans="1:8" ht="27">
      <c r="A5" s="4" t="s">
        <v>26</v>
      </c>
      <c r="B5" s="4" t="s">
        <v>27</v>
      </c>
      <c r="C5" s="19">
        <v>36</v>
      </c>
      <c r="D5" s="20">
        <v>36</v>
      </c>
      <c r="E5" s="21">
        <v>36</v>
      </c>
      <c r="F5" s="4" t="s">
        <v>28</v>
      </c>
      <c r="G5" s="4" t="s">
        <v>29</v>
      </c>
      <c r="H5" s="4" t="s">
        <v>30</v>
      </c>
    </row>
    <row r="6" spans="1:8" ht="27">
      <c r="A6" s="4" t="s">
        <v>31</v>
      </c>
      <c r="B6" s="4" t="s">
        <v>32</v>
      </c>
      <c r="C6" s="22">
        <v>49</v>
      </c>
      <c r="D6" s="23">
        <v>39</v>
      </c>
      <c r="E6" s="24">
        <v>59</v>
      </c>
      <c r="F6" s="4" t="s">
        <v>33</v>
      </c>
      <c r="G6" s="4" t="s">
        <v>34</v>
      </c>
      <c r="H6" s="4" t="s">
        <v>35</v>
      </c>
    </row>
    <row r="7" spans="1:8" ht="27">
      <c r="A7" s="4" t="s">
        <v>31</v>
      </c>
      <c r="B7" s="4" t="s">
        <v>36</v>
      </c>
      <c r="C7" s="22">
        <v>79</v>
      </c>
      <c r="D7" s="23">
        <v>69</v>
      </c>
      <c r="E7" s="24">
        <v>99</v>
      </c>
      <c r="F7" s="4" t="s">
        <v>33</v>
      </c>
      <c r="G7" s="4" t="s">
        <v>34</v>
      </c>
      <c r="H7" s="4" t="s">
        <v>37</v>
      </c>
    </row>
    <row r="8" spans="1:8" ht="27">
      <c r="A8" s="4" t="s">
        <v>31</v>
      </c>
      <c r="B8" s="4" t="s">
        <v>38</v>
      </c>
      <c r="C8" s="22">
        <v>19</v>
      </c>
      <c r="D8" s="23">
        <v>15</v>
      </c>
      <c r="E8" s="24">
        <v>25</v>
      </c>
      <c r="F8" s="4" t="s">
        <v>33</v>
      </c>
      <c r="G8" s="4" t="s">
        <v>34</v>
      </c>
      <c r="H8" s="4" t="s">
        <v>39</v>
      </c>
    </row>
    <row r="9" spans="1:8" ht="27">
      <c r="A9" s="4" t="s">
        <v>40</v>
      </c>
      <c r="B9" s="4" t="s">
        <v>41</v>
      </c>
      <c r="C9" s="25">
        <v>0.6</v>
      </c>
      <c r="D9" s="26">
        <v>0.65</v>
      </c>
      <c r="E9" s="27">
        <v>0.5</v>
      </c>
      <c r="F9" s="4" t="s">
        <v>42</v>
      </c>
      <c r="G9" s="4" t="s">
        <v>29</v>
      </c>
      <c r="H9" s="4" t="s">
        <v>43</v>
      </c>
    </row>
    <row r="10" spans="1:8" ht="27">
      <c r="A10" s="4" t="s">
        <v>40</v>
      </c>
      <c r="B10" s="4" t="s">
        <v>44</v>
      </c>
      <c r="C10" s="25">
        <v>0.25</v>
      </c>
      <c r="D10" s="26">
        <v>0.15</v>
      </c>
      <c r="E10" s="27">
        <v>0.35</v>
      </c>
      <c r="F10" s="4" t="s">
        <v>42</v>
      </c>
      <c r="G10" s="4" t="s">
        <v>29</v>
      </c>
      <c r="H10" s="4" t="s">
        <v>45</v>
      </c>
    </row>
    <row r="11" spans="1:8" ht="27">
      <c r="A11" s="4" t="s">
        <v>46</v>
      </c>
      <c r="B11" s="4" t="s">
        <v>47</v>
      </c>
      <c r="C11" s="28">
        <v>30</v>
      </c>
      <c r="D11" s="29">
        <v>15</v>
      </c>
      <c r="E11" s="30">
        <v>60</v>
      </c>
      <c r="F11" s="4" t="s">
        <v>48</v>
      </c>
      <c r="G11" s="4" t="s">
        <v>49</v>
      </c>
      <c r="H11" s="4" t="s">
        <v>50</v>
      </c>
    </row>
    <row r="12" spans="1:8" ht="27">
      <c r="A12" s="4" t="s">
        <v>46</v>
      </c>
      <c r="B12" s="4" t="s">
        <v>51</v>
      </c>
      <c r="C12" s="25">
        <v>0.18</v>
      </c>
      <c r="D12" s="26">
        <v>0.1</v>
      </c>
      <c r="E12" s="27">
        <v>0.25</v>
      </c>
      <c r="F12" s="4" t="s">
        <v>42</v>
      </c>
      <c r="G12" s="4" t="s">
        <v>29</v>
      </c>
      <c r="H12" s="4" t="s">
        <v>52</v>
      </c>
    </row>
    <row r="13" spans="1:8" ht="27">
      <c r="A13" s="4" t="s">
        <v>46</v>
      </c>
      <c r="B13" s="4" t="s">
        <v>53</v>
      </c>
      <c r="C13" s="25">
        <v>0.03</v>
      </c>
      <c r="D13" s="26">
        <v>0.05</v>
      </c>
      <c r="E13" s="27">
        <v>0.02</v>
      </c>
      <c r="F13" s="4" t="s">
        <v>42</v>
      </c>
      <c r="G13" s="4" t="s">
        <v>29</v>
      </c>
      <c r="H13" s="4" t="s">
        <v>54</v>
      </c>
    </row>
    <row r="14" spans="1:8" ht="27">
      <c r="A14" s="4" t="s">
        <v>55</v>
      </c>
      <c r="B14" s="4" t="s">
        <v>56</v>
      </c>
      <c r="C14" s="22">
        <v>18</v>
      </c>
      <c r="D14" s="23">
        <v>28</v>
      </c>
      <c r="E14" s="24">
        <v>12</v>
      </c>
      <c r="F14" s="4" t="s">
        <v>57</v>
      </c>
      <c r="G14" s="4" t="s">
        <v>29</v>
      </c>
      <c r="H14" s="4" t="s">
        <v>58</v>
      </c>
    </row>
    <row r="15" spans="1:8" ht="27">
      <c r="A15" s="4" t="s">
        <v>59</v>
      </c>
      <c r="B15" s="4" t="s">
        <v>60</v>
      </c>
      <c r="C15" s="25">
        <v>3.5000000000000003E-2</v>
      </c>
      <c r="D15" s="26">
        <v>0.04</v>
      </c>
      <c r="E15" s="27">
        <v>0.03</v>
      </c>
      <c r="F15" s="4" t="s">
        <v>61</v>
      </c>
      <c r="G15" s="4" t="s">
        <v>62</v>
      </c>
      <c r="H15" s="4" t="s">
        <v>63</v>
      </c>
    </row>
    <row r="16" spans="1:8" ht="15">
      <c r="A16" s="4" t="s">
        <v>59</v>
      </c>
      <c r="B16" s="4" t="s">
        <v>64</v>
      </c>
      <c r="C16" s="22">
        <v>1</v>
      </c>
      <c r="D16" s="23">
        <v>1.2</v>
      </c>
      <c r="E16" s="24">
        <v>0.8</v>
      </c>
      <c r="F16" s="4" t="s">
        <v>65</v>
      </c>
      <c r="G16" s="4" t="s">
        <v>62</v>
      </c>
      <c r="H16" s="4" t="s">
        <v>66</v>
      </c>
    </row>
    <row r="17" spans="1:8" ht="27">
      <c r="A17" s="4" t="s">
        <v>59</v>
      </c>
      <c r="B17" s="4" t="s">
        <v>67</v>
      </c>
      <c r="C17" s="22">
        <v>5</v>
      </c>
      <c r="D17" s="23">
        <v>8</v>
      </c>
      <c r="E17" s="24">
        <v>3.5</v>
      </c>
      <c r="F17" s="4" t="s">
        <v>57</v>
      </c>
      <c r="G17" s="4" t="s">
        <v>29</v>
      </c>
      <c r="H17" s="4" t="s">
        <v>68</v>
      </c>
    </row>
    <row r="18" spans="1:8" ht="27">
      <c r="A18" s="4" t="s">
        <v>59</v>
      </c>
      <c r="B18" s="4" t="s">
        <v>69</v>
      </c>
      <c r="C18" s="22">
        <v>0.8</v>
      </c>
      <c r="D18" s="23">
        <v>1.2</v>
      </c>
      <c r="E18" s="24">
        <v>0.6</v>
      </c>
      <c r="F18" s="4" t="s">
        <v>70</v>
      </c>
      <c r="G18" s="4" t="s">
        <v>29</v>
      </c>
      <c r="H18" s="4" t="s">
        <v>71</v>
      </c>
    </row>
    <row r="19" spans="1:8" ht="27">
      <c r="A19" s="4" t="s">
        <v>72</v>
      </c>
      <c r="B19" s="4" t="s">
        <v>73</v>
      </c>
      <c r="C19" s="22">
        <v>3500</v>
      </c>
      <c r="D19" s="23">
        <v>3000</v>
      </c>
      <c r="E19" s="24">
        <v>5000</v>
      </c>
      <c r="F19" s="4" t="s">
        <v>74</v>
      </c>
      <c r="G19" s="4" t="s">
        <v>29</v>
      </c>
      <c r="H19" s="4" t="s">
        <v>75</v>
      </c>
    </row>
    <row r="20" spans="1:8" ht="27">
      <c r="A20" s="4" t="s">
        <v>72</v>
      </c>
      <c r="B20" s="4" t="s">
        <v>76</v>
      </c>
      <c r="C20" s="25">
        <v>0.03</v>
      </c>
      <c r="D20" s="26">
        <v>0.02</v>
      </c>
      <c r="E20" s="27">
        <v>0.05</v>
      </c>
      <c r="F20" s="4" t="s">
        <v>42</v>
      </c>
      <c r="G20" s="4" t="s">
        <v>29</v>
      </c>
      <c r="H20" s="4" t="s">
        <v>77</v>
      </c>
    </row>
    <row r="21" spans="1:8" ht="27">
      <c r="A21" s="4" t="s">
        <v>78</v>
      </c>
      <c r="B21" s="4" t="s">
        <v>79</v>
      </c>
      <c r="C21" s="22">
        <v>700</v>
      </c>
      <c r="D21" s="23">
        <v>500</v>
      </c>
      <c r="E21" s="24">
        <v>1200</v>
      </c>
      <c r="F21" s="4" t="s">
        <v>74</v>
      </c>
      <c r="G21" s="4" t="s">
        <v>29</v>
      </c>
      <c r="H21" s="4" t="s">
        <v>80</v>
      </c>
    </row>
    <row r="22" spans="1:8" ht="27">
      <c r="A22" s="4" t="s">
        <v>78</v>
      </c>
      <c r="B22" s="4" t="s">
        <v>81</v>
      </c>
      <c r="C22" s="22">
        <v>600</v>
      </c>
      <c r="D22" s="23">
        <v>300</v>
      </c>
      <c r="E22" s="24">
        <v>1200</v>
      </c>
      <c r="F22" s="4" t="s">
        <v>74</v>
      </c>
      <c r="G22" s="4" t="s">
        <v>29</v>
      </c>
      <c r="H22" s="4" t="s">
        <v>82</v>
      </c>
    </row>
    <row r="23" spans="1:8" ht="15">
      <c r="A23" s="4" t="s">
        <v>83</v>
      </c>
      <c r="B23" s="4" t="s">
        <v>84</v>
      </c>
      <c r="C23" s="22">
        <v>10000</v>
      </c>
      <c r="D23" s="23">
        <v>5000</v>
      </c>
      <c r="E23" s="24">
        <v>25000</v>
      </c>
      <c r="F23" s="4" t="s">
        <v>85</v>
      </c>
      <c r="G23" s="4" t="s">
        <v>29</v>
      </c>
      <c r="H23" s="4" t="s">
        <v>86</v>
      </c>
    </row>
    <row r="24" spans="1:8" ht="15">
      <c r="A24" s="4" t="s">
        <v>83</v>
      </c>
      <c r="B24" s="4" t="s">
        <v>87</v>
      </c>
      <c r="C24" s="31">
        <v>0</v>
      </c>
      <c r="D24" s="32">
        <v>0</v>
      </c>
      <c r="E24" s="33">
        <v>0</v>
      </c>
      <c r="F24" s="4" t="s">
        <v>42</v>
      </c>
      <c r="G24" s="4" t="s">
        <v>88</v>
      </c>
      <c r="H24" s="4" t="s">
        <v>89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43"/>
  <sheetViews>
    <sheetView showGridLines="0" topLeftCell="A22" workbookViewId="0">
      <selection activeCell="D43" sqref="D43"/>
    </sheetView>
  </sheetViews>
  <sheetFormatPr defaultRowHeight="14.25"/>
  <cols>
    <col min="1" max="1" width="28.75" customWidth="1"/>
    <col min="2" max="2" width="10" customWidth="1"/>
    <col min="3" max="3" width="21.25" customWidth="1"/>
    <col min="4" max="39" width="10.75" customWidth="1"/>
  </cols>
  <sheetData>
    <row r="1" spans="1:40" ht="31.5" customHeight="1">
      <c r="A1" s="49" t="s">
        <v>90</v>
      </c>
      <c r="B1" s="49" t="s">
        <v>90</v>
      </c>
      <c r="C1" s="49" t="s">
        <v>90</v>
      </c>
      <c r="D1" s="49" t="s">
        <v>90</v>
      </c>
      <c r="E1" s="49" t="s">
        <v>90</v>
      </c>
      <c r="F1" s="49" t="s">
        <v>90</v>
      </c>
      <c r="G1" s="49" t="s">
        <v>90</v>
      </c>
      <c r="H1" s="49" t="s">
        <v>90</v>
      </c>
      <c r="I1" s="49" t="s">
        <v>90</v>
      </c>
      <c r="J1" s="49" t="s">
        <v>90</v>
      </c>
      <c r="K1" s="49" t="s">
        <v>90</v>
      </c>
      <c r="L1" s="49" t="s">
        <v>90</v>
      </c>
      <c r="M1" s="49" t="s">
        <v>90</v>
      </c>
      <c r="N1" s="49" t="s">
        <v>90</v>
      </c>
      <c r="O1" s="49" t="s">
        <v>90</v>
      </c>
      <c r="P1" s="49" t="s">
        <v>90</v>
      </c>
      <c r="Q1" s="49" t="s">
        <v>90</v>
      </c>
      <c r="R1" s="49" t="s">
        <v>90</v>
      </c>
      <c r="S1" s="49" t="s">
        <v>90</v>
      </c>
      <c r="T1" s="49" t="s">
        <v>90</v>
      </c>
      <c r="U1" s="49" t="s">
        <v>90</v>
      </c>
      <c r="V1" s="49" t="s">
        <v>90</v>
      </c>
      <c r="W1" s="49" t="s">
        <v>90</v>
      </c>
      <c r="X1" s="49" t="s">
        <v>90</v>
      </c>
      <c r="Y1" s="49" t="s">
        <v>90</v>
      </c>
      <c r="Z1" s="49" t="s">
        <v>90</v>
      </c>
      <c r="AA1" s="49" t="s">
        <v>90</v>
      </c>
      <c r="AB1" s="49" t="s">
        <v>90</v>
      </c>
      <c r="AC1" s="49" t="s">
        <v>90</v>
      </c>
      <c r="AD1" s="49" t="s">
        <v>90</v>
      </c>
      <c r="AE1" s="49" t="s">
        <v>90</v>
      </c>
      <c r="AF1" s="49" t="s">
        <v>90</v>
      </c>
      <c r="AG1" s="49" t="s">
        <v>90</v>
      </c>
      <c r="AH1" s="49" t="s">
        <v>90</v>
      </c>
      <c r="AI1" s="49" t="s">
        <v>90</v>
      </c>
      <c r="AJ1" s="49" t="s">
        <v>90</v>
      </c>
      <c r="AK1" s="49" t="s">
        <v>90</v>
      </c>
      <c r="AL1" s="49" t="s">
        <v>90</v>
      </c>
      <c r="AM1" s="49" t="s">
        <v>90</v>
      </c>
      <c r="AN1" s="49" t="s">
        <v>90</v>
      </c>
    </row>
    <row r="2" spans="1:40" ht="15">
      <c r="A2" s="47" t="s">
        <v>91</v>
      </c>
      <c r="B2" s="48"/>
      <c r="C2" s="48"/>
      <c r="D2" s="48"/>
      <c r="E2" s="48"/>
      <c r="F2" s="48"/>
      <c r="G2" s="48"/>
      <c r="H2" s="48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</row>
    <row r="3" spans="1:40" ht="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spans="1:40" ht="15">
      <c r="A4" s="1" t="s">
        <v>92</v>
      </c>
      <c r="B4" s="2" t="s">
        <v>23</v>
      </c>
      <c r="C4" s="2" t="s">
        <v>93</v>
      </c>
      <c r="D4" s="2" t="s">
        <v>94</v>
      </c>
      <c r="E4" s="2" t="s">
        <v>95</v>
      </c>
      <c r="F4" s="2" t="s">
        <v>96</v>
      </c>
      <c r="G4" s="2" t="s">
        <v>97</v>
      </c>
      <c r="H4" s="2" t="s">
        <v>98</v>
      </c>
      <c r="I4" s="2" t="s">
        <v>99</v>
      </c>
      <c r="J4" s="2" t="s">
        <v>100</v>
      </c>
      <c r="K4" s="2" t="s">
        <v>101</v>
      </c>
      <c r="L4" s="2" t="s">
        <v>102</v>
      </c>
      <c r="M4" s="2" t="s">
        <v>103</v>
      </c>
      <c r="N4" s="2" t="s">
        <v>104</v>
      </c>
      <c r="O4" s="2" t="s">
        <v>105</v>
      </c>
      <c r="P4" s="2" t="s">
        <v>106</v>
      </c>
      <c r="Q4" s="2" t="s">
        <v>107</v>
      </c>
      <c r="R4" s="2" t="s">
        <v>108</v>
      </c>
      <c r="S4" s="2" t="s">
        <v>109</v>
      </c>
      <c r="T4" s="2" t="s">
        <v>110</v>
      </c>
      <c r="U4" s="2" t="s">
        <v>111</v>
      </c>
      <c r="V4" s="2" t="s">
        <v>112</v>
      </c>
      <c r="W4" s="2" t="s">
        <v>113</v>
      </c>
      <c r="X4" s="2" t="s">
        <v>114</v>
      </c>
      <c r="Y4" s="2" t="s">
        <v>115</v>
      </c>
      <c r="Z4" s="2" t="s">
        <v>116</v>
      </c>
      <c r="AA4" s="2" t="s">
        <v>117</v>
      </c>
      <c r="AB4" s="2" t="s">
        <v>118</v>
      </c>
      <c r="AC4" s="2" t="s">
        <v>119</v>
      </c>
      <c r="AD4" s="2" t="s">
        <v>120</v>
      </c>
      <c r="AE4" s="2" t="s">
        <v>121</v>
      </c>
      <c r="AF4" s="2" t="s">
        <v>122</v>
      </c>
      <c r="AG4" s="2" t="s">
        <v>123</v>
      </c>
      <c r="AH4" s="2" t="s">
        <v>124</v>
      </c>
      <c r="AI4" s="2" t="s">
        <v>125</v>
      </c>
      <c r="AJ4" s="2" t="s">
        <v>126</v>
      </c>
      <c r="AK4" s="2" t="s">
        <v>127</v>
      </c>
      <c r="AL4" s="2" t="s">
        <v>128</v>
      </c>
      <c r="AM4" s="3" t="s">
        <v>129</v>
      </c>
      <c r="AN4" s="4"/>
    </row>
    <row r="5" spans="1:40" ht="15">
      <c r="A5" s="5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7"/>
      <c r="AN5" s="4"/>
    </row>
    <row r="6" spans="1:40" ht="15">
      <c r="A6" s="50" t="s">
        <v>130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2"/>
      <c r="AN6" s="4"/>
    </row>
    <row r="7" spans="1:40" ht="27">
      <c r="A7" s="8" t="s">
        <v>131</v>
      </c>
      <c r="B7" s="34" t="s">
        <v>48</v>
      </c>
      <c r="C7" s="34" t="s">
        <v>132</v>
      </c>
      <c r="D7" s="14">
        <f>Assumptions!$C$11</f>
        <v>30</v>
      </c>
      <c r="E7" s="14">
        <f>D7*(1+Assumptions!$C$12)</f>
        <v>35.4</v>
      </c>
      <c r="F7" s="14">
        <f>E7*(1+Assumptions!$C$12)</f>
        <v>41.771999999999998</v>
      </c>
      <c r="G7" s="14">
        <f>F7*(1+Assumptions!$C$12)</f>
        <v>49.290959999999998</v>
      </c>
      <c r="H7" s="14">
        <f>G7*(1+Assumptions!$C$12)</f>
        <v>58.163332799999992</v>
      </c>
      <c r="I7" s="14">
        <f>H7*(1+Assumptions!$C$12)</f>
        <v>68.632732703999991</v>
      </c>
      <c r="J7" s="14">
        <f>I7*(1+Assumptions!$C$12)</f>
        <v>80.986624590719984</v>
      </c>
      <c r="K7" s="14">
        <f>J7*(1+Assumptions!$C$12)</f>
        <v>95.564217017049572</v>
      </c>
      <c r="L7" s="14">
        <f>K7*(1+Assumptions!$C$12)</f>
        <v>112.76577608011848</v>
      </c>
      <c r="M7" s="14">
        <f>L7*(1+Assumptions!$C$12)</f>
        <v>133.06361577453981</v>
      </c>
      <c r="N7" s="14">
        <f>M7*(1+Assumptions!$C$12)</f>
        <v>157.01506661395698</v>
      </c>
      <c r="O7" s="14">
        <f>N7*(1+Assumptions!$C$12)</f>
        <v>185.27777860446923</v>
      </c>
      <c r="P7" s="14">
        <f>O7*(1+Assumptions!$C$12)</f>
        <v>218.62777875327367</v>
      </c>
      <c r="Q7" s="14">
        <f>P7*(1+Assumptions!$C$12)</f>
        <v>257.98077892886295</v>
      </c>
      <c r="R7" s="14">
        <f>Q7*(1+Assumptions!$C$12)</f>
        <v>304.41731913605827</v>
      </c>
      <c r="S7" s="14">
        <f>R7*(1+Assumptions!$C$12)</f>
        <v>359.21243658054874</v>
      </c>
      <c r="T7" s="14">
        <f>S7*(1+Assumptions!$C$12)</f>
        <v>423.87067516504749</v>
      </c>
      <c r="U7" s="14">
        <f>T7*(1+Assumptions!$C$12)</f>
        <v>500.16739669475601</v>
      </c>
      <c r="V7" s="14">
        <f>U7*(1+Assumptions!$C$12)</f>
        <v>590.19752809981208</v>
      </c>
      <c r="W7" s="14">
        <f>V7*(1+Assumptions!$C$12)</f>
        <v>696.43308315777824</v>
      </c>
      <c r="X7" s="14">
        <f>W7*(1+Assumptions!$C$12)</f>
        <v>821.79103812617825</v>
      </c>
      <c r="Y7" s="14">
        <f>X7*(1+Assumptions!$C$12)</f>
        <v>969.71342498889032</v>
      </c>
      <c r="Z7" s="14">
        <f>Y7*(1+Assumptions!$C$12)</f>
        <v>1144.2618414868905</v>
      </c>
      <c r="AA7" s="14">
        <f>Z7*(1+Assumptions!$C$12)</f>
        <v>1350.2289729545307</v>
      </c>
      <c r="AB7" s="14">
        <f>AA7*(1+Assumptions!$C$12)</f>
        <v>1593.2701880863463</v>
      </c>
      <c r="AC7" s="14">
        <f>AB7*(1+Assumptions!$C$12)</f>
        <v>1880.0588219418885</v>
      </c>
      <c r="AD7" s="14">
        <f>AC7*(1+Assumptions!$C$12)</f>
        <v>2218.4694098914283</v>
      </c>
      <c r="AE7" s="14">
        <f>AD7*(1+Assumptions!$C$12)</f>
        <v>2617.7939036718853</v>
      </c>
      <c r="AF7" s="14">
        <f>AE7*(1+Assumptions!$C$12)</f>
        <v>3088.9968063328247</v>
      </c>
      <c r="AG7" s="14">
        <f>AF7*(1+Assumptions!$C$12)</f>
        <v>3645.0162314727331</v>
      </c>
      <c r="AH7" s="14">
        <f>AG7*(1+Assumptions!$C$12)</f>
        <v>4301.1191531378245</v>
      </c>
      <c r="AI7" s="14">
        <f>AH7*(1+Assumptions!$C$12)</f>
        <v>5075.3206007026329</v>
      </c>
      <c r="AJ7" s="14">
        <f>AI7*(1+Assumptions!$C$12)</f>
        <v>5988.8783088291066</v>
      </c>
      <c r="AK7" s="14">
        <f>AJ7*(1+Assumptions!$C$12)</f>
        <v>7066.8764044183454</v>
      </c>
      <c r="AL7" s="14">
        <f>AK7*(1+Assumptions!$C$12)</f>
        <v>8338.9141572136468</v>
      </c>
      <c r="AM7" s="15">
        <f>AL7*(1+Assumptions!$C$12)</f>
        <v>9839.918705512102</v>
      </c>
      <c r="AN7" s="4"/>
    </row>
    <row r="8" spans="1:40" ht="15">
      <c r="A8" s="8" t="s">
        <v>133</v>
      </c>
      <c r="B8" s="34" t="s">
        <v>48</v>
      </c>
      <c r="C8" s="34" t="s">
        <v>134</v>
      </c>
      <c r="D8" s="14">
        <f>0</f>
        <v>0</v>
      </c>
      <c r="E8" s="14">
        <f>D9*Assumptions!$C$13</f>
        <v>0.89999999999999991</v>
      </c>
      <c r="F8" s="14">
        <f>E9*Assumptions!$C$13</f>
        <v>1.9349999999999998</v>
      </c>
      <c r="G8" s="14">
        <f>F9*Assumptions!$C$13</f>
        <v>3.1301099999999997</v>
      </c>
      <c r="H8" s="14">
        <f>G9*Assumptions!$C$13</f>
        <v>4.5149354999999991</v>
      </c>
      <c r="I8" s="14">
        <f>H9*Assumptions!$C$13</f>
        <v>6.1243874189999978</v>
      </c>
      <c r="J8" s="14">
        <f>I9*Assumptions!$C$13</f>
        <v>7.9996377775499976</v>
      </c>
      <c r="K8" s="14">
        <f>J9*Assumptions!$C$13</f>
        <v>10.189247381945098</v>
      </c>
      <c r="L8" s="14">
        <f>K9*Assumptions!$C$13</f>
        <v>12.750496470998232</v>
      </c>
      <c r="M8" s="14">
        <f>L9*Assumptions!$C$13</f>
        <v>15.750954859271843</v>
      </c>
      <c r="N8" s="14">
        <f>M9*Assumptions!$C$13</f>
        <v>19.270334686729882</v>
      </c>
      <c r="O8" s="14">
        <f>N9*Assumptions!$C$13</f>
        <v>23.402676644546691</v>
      </c>
      <c r="P8" s="14">
        <f>O9*Assumptions!$C$13</f>
        <v>28.258929703344368</v>
      </c>
      <c r="Q8" s="14">
        <f>P9*Assumptions!$C$13</f>
        <v>33.969995174842246</v>
      </c>
      <c r="R8" s="14">
        <f>Q9*Assumptions!$C$13</f>
        <v>40.690318687462863</v>
      </c>
      <c r="S8" s="14">
        <f>R9*Assumptions!$C$13</f>
        <v>48.602128700920723</v>
      </c>
      <c r="T8" s="14">
        <f>S9*Assumptions!$C$13</f>
        <v>57.920437937309565</v>
      </c>
      <c r="U8" s="14">
        <f>T9*Assumptions!$C$13</f>
        <v>68.898945054141706</v>
      </c>
      <c r="V8" s="14">
        <f>U9*Assumptions!$C$13</f>
        <v>81.836998603360129</v>
      </c>
      <c r="W8" s="14">
        <f>V9*Assumptions!$C$13</f>
        <v>97.087814488253699</v>
      </c>
      <c r="X8" s="14">
        <f>W9*Assumptions!$C$13</f>
        <v>115.06817254833943</v>
      </c>
      <c r="Y8" s="14">
        <f>X9*Assumptions!$C$13</f>
        <v>136.26985851567463</v>
      </c>
      <c r="Z8" s="14">
        <f>Y9*Assumptions!$C$13</f>
        <v>161.27316550987109</v>
      </c>
      <c r="AA8" s="14">
        <f>Z9*Assumptions!$C$13</f>
        <v>190.76282578918165</v>
      </c>
      <c r="AB8" s="14">
        <f>AA9*Assumptions!$C$13</f>
        <v>225.5468102041421</v>
      </c>
      <c r="AC8" s="14">
        <f>AB9*Assumptions!$C$13</f>
        <v>266.5785115406083</v>
      </c>
      <c r="AD8" s="14">
        <f>AC9*Assumptions!$C$13</f>
        <v>314.98292085264666</v>
      </c>
      <c r="AE8" s="14">
        <f>AD9*Assumptions!$C$13</f>
        <v>372.08751552381011</v>
      </c>
      <c r="AF8" s="14">
        <f>AE9*Assumptions!$C$13</f>
        <v>439.45870716825237</v>
      </c>
      <c r="AG8" s="14">
        <f>AF9*Assumptions!$C$13</f>
        <v>518.94485014318957</v>
      </c>
      <c r="AH8" s="14">
        <f>AG9*Assumptions!$C$13</f>
        <v>612.7269915830758</v>
      </c>
      <c r="AI8" s="14">
        <f>AH9*Assumptions!$C$13</f>
        <v>723.37875642971824</v>
      </c>
      <c r="AJ8" s="14">
        <f>AI9*Assumptions!$C$13</f>
        <v>853.93701175790568</v>
      </c>
      <c r="AK8" s="14">
        <f>AJ9*Assumptions!$C$13</f>
        <v>1007.9852506700416</v>
      </c>
      <c r="AL8" s="14">
        <f>AK9*Assumptions!$C$13</f>
        <v>1189.7519852824908</v>
      </c>
      <c r="AM8" s="15">
        <f>AL9*Assumptions!$C$13</f>
        <v>1404.2268504404256</v>
      </c>
      <c r="AN8" s="4"/>
    </row>
    <row r="9" spans="1:40" ht="27">
      <c r="A9" s="8" t="s">
        <v>135</v>
      </c>
      <c r="B9" s="34" t="s">
        <v>48</v>
      </c>
      <c r="C9" s="34" t="s">
        <v>136</v>
      </c>
      <c r="D9" s="14">
        <f>D7-D8</f>
        <v>30</v>
      </c>
      <c r="E9" s="14">
        <f t="shared" ref="E9:AM9" si="0">D9+E7-E8</f>
        <v>64.5</v>
      </c>
      <c r="F9" s="14">
        <f t="shared" si="0"/>
        <v>104.33699999999999</v>
      </c>
      <c r="G9" s="14">
        <f t="shared" si="0"/>
        <v>150.49784999999997</v>
      </c>
      <c r="H9" s="14">
        <f t="shared" si="0"/>
        <v>204.14624729999994</v>
      </c>
      <c r="I9" s="14">
        <f t="shared" si="0"/>
        <v>266.65459258499993</v>
      </c>
      <c r="J9" s="14">
        <f t="shared" si="0"/>
        <v>339.64157939816994</v>
      </c>
      <c r="K9" s="14">
        <f t="shared" si="0"/>
        <v>425.01654903327443</v>
      </c>
      <c r="L9" s="14">
        <f t="shared" si="0"/>
        <v>525.03182864239477</v>
      </c>
      <c r="M9" s="14">
        <f t="shared" si="0"/>
        <v>642.34448955766277</v>
      </c>
      <c r="N9" s="14">
        <f t="shared" si="0"/>
        <v>780.08922148488978</v>
      </c>
      <c r="O9" s="14">
        <f t="shared" si="0"/>
        <v>941.96432344481229</v>
      </c>
      <c r="P9" s="14">
        <f t="shared" si="0"/>
        <v>1132.3331724947416</v>
      </c>
      <c r="Q9" s="14">
        <f t="shared" si="0"/>
        <v>1356.3439562487622</v>
      </c>
      <c r="R9" s="14">
        <f t="shared" si="0"/>
        <v>1620.0709566973576</v>
      </c>
      <c r="S9" s="14">
        <f t="shared" si="0"/>
        <v>1930.6812645769855</v>
      </c>
      <c r="T9" s="14">
        <f t="shared" si="0"/>
        <v>2296.6315018047235</v>
      </c>
      <c r="U9" s="14">
        <f t="shared" si="0"/>
        <v>2727.8999534453378</v>
      </c>
      <c r="V9" s="14">
        <f t="shared" si="0"/>
        <v>3236.2604829417901</v>
      </c>
      <c r="W9" s="14">
        <f t="shared" si="0"/>
        <v>3835.6057516113146</v>
      </c>
      <c r="X9" s="14">
        <f t="shared" si="0"/>
        <v>4542.3286171891541</v>
      </c>
      <c r="Y9" s="14">
        <f t="shared" si="0"/>
        <v>5375.7721836623696</v>
      </c>
      <c r="Z9" s="14">
        <f t="shared" si="0"/>
        <v>6358.7608596393884</v>
      </c>
      <c r="AA9" s="14">
        <f t="shared" si="0"/>
        <v>7518.2270068047374</v>
      </c>
      <c r="AB9" s="14">
        <f t="shared" si="0"/>
        <v>8885.9503846869429</v>
      </c>
      <c r="AC9" s="14">
        <f t="shared" si="0"/>
        <v>10499.430695088222</v>
      </c>
      <c r="AD9" s="14">
        <f t="shared" si="0"/>
        <v>12402.917184127004</v>
      </c>
      <c r="AE9" s="14">
        <f t="shared" si="0"/>
        <v>14648.623572275079</v>
      </c>
      <c r="AF9" s="14">
        <f t="shared" si="0"/>
        <v>17298.161671439651</v>
      </c>
      <c r="AG9" s="14">
        <f t="shared" si="0"/>
        <v>20424.233052769196</v>
      </c>
      <c r="AH9" s="14">
        <f t="shared" si="0"/>
        <v>24112.625214323944</v>
      </c>
      <c r="AI9" s="14">
        <f t="shared" si="0"/>
        <v>28464.567058596858</v>
      </c>
      <c r="AJ9" s="14">
        <f t="shared" si="0"/>
        <v>33599.508355668055</v>
      </c>
      <c r="AK9" s="14">
        <f t="shared" si="0"/>
        <v>39658.399509416362</v>
      </c>
      <c r="AL9" s="14">
        <f t="shared" si="0"/>
        <v>46807.561681347521</v>
      </c>
      <c r="AM9" s="15">
        <f t="shared" si="0"/>
        <v>55243.253536419194</v>
      </c>
      <c r="AN9" s="4"/>
    </row>
    <row r="10" spans="1:40" ht="15">
      <c r="A10" s="8"/>
      <c r="B10" s="34"/>
      <c r="C10" s="3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5"/>
      <c r="AN10" s="4"/>
    </row>
    <row r="11" spans="1:40" ht="15">
      <c r="A11" s="50" t="s">
        <v>137</v>
      </c>
      <c r="B11" s="51"/>
      <c r="C11" s="51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4"/>
      <c r="AN11" s="4"/>
    </row>
    <row r="12" spans="1:40" ht="15">
      <c r="A12" s="8" t="s">
        <v>138</v>
      </c>
      <c r="B12" s="34" t="s">
        <v>48</v>
      </c>
      <c r="C12" s="34" t="s">
        <v>139</v>
      </c>
      <c r="D12" s="14">
        <f>D7*Assumptions!$C$9</f>
        <v>18</v>
      </c>
      <c r="E12" s="14">
        <f>E7*Assumptions!$C$9</f>
        <v>21.24</v>
      </c>
      <c r="F12" s="14">
        <f>F7*Assumptions!$C$9</f>
        <v>25.063199999999998</v>
      </c>
      <c r="G12" s="14">
        <f>G7*Assumptions!$C$9</f>
        <v>29.574575999999997</v>
      </c>
      <c r="H12" s="14">
        <f>H7*Assumptions!$C$9</f>
        <v>34.897999679999991</v>
      </c>
      <c r="I12" s="14">
        <f>I7*Assumptions!$C$9</f>
        <v>41.179639622399996</v>
      </c>
      <c r="J12" s="14">
        <f>J7*Assumptions!$C$9</f>
        <v>48.591974754431988</v>
      </c>
      <c r="K12" s="14">
        <f>K7*Assumptions!$C$9</f>
        <v>57.338530210229742</v>
      </c>
      <c r="L12" s="14">
        <f>L7*Assumptions!$C$9</f>
        <v>67.659465648071091</v>
      </c>
      <c r="M12" s="14">
        <f>M7*Assumptions!$C$9</f>
        <v>79.83816946472389</v>
      </c>
      <c r="N12" s="14">
        <f>N7*Assumptions!$C$9</f>
        <v>94.209039968374185</v>
      </c>
      <c r="O12" s="14">
        <f>O7*Assumptions!$C$9</f>
        <v>111.16666716268153</v>
      </c>
      <c r="P12" s="14">
        <f>P7*Assumptions!$C$9</f>
        <v>131.1766672519642</v>
      </c>
      <c r="Q12" s="14">
        <f>Q7*Assumptions!$C$9</f>
        <v>154.78846735731776</v>
      </c>
      <c r="R12" s="14">
        <f>R7*Assumptions!$C$9</f>
        <v>182.65039148163495</v>
      </c>
      <c r="S12" s="14">
        <f>S7*Assumptions!$C$9</f>
        <v>215.52746194832923</v>
      </c>
      <c r="T12" s="14">
        <f>T7*Assumptions!$C$9</f>
        <v>254.32240509902849</v>
      </c>
      <c r="U12" s="14">
        <f>U7*Assumptions!$C$9</f>
        <v>300.10043801685362</v>
      </c>
      <c r="V12" s="14">
        <f>V7*Assumptions!$C$9</f>
        <v>354.11851685988722</v>
      </c>
      <c r="W12" s="14">
        <f>W7*Assumptions!$C$9</f>
        <v>417.85984989466692</v>
      </c>
      <c r="X12" s="14">
        <f>X7*Assumptions!$C$9</f>
        <v>493.07462287570695</v>
      </c>
      <c r="Y12" s="14">
        <f>Y7*Assumptions!$C$9</f>
        <v>581.82805499333415</v>
      </c>
      <c r="Z12" s="14">
        <f>Z7*Assumptions!$C$9</f>
        <v>686.55710489213425</v>
      </c>
      <c r="AA12" s="14">
        <f>AA7*Assumptions!$C$9</f>
        <v>810.13738377271841</v>
      </c>
      <c r="AB12" s="14">
        <f>AB7*Assumptions!$C$9</f>
        <v>955.96211285180766</v>
      </c>
      <c r="AC12" s="14">
        <f>AC7*Assumptions!$C$9</f>
        <v>1128.035293165133</v>
      </c>
      <c r="AD12" s="14">
        <f>AD7*Assumptions!$C$9</f>
        <v>1331.0816459348569</v>
      </c>
      <c r="AE12" s="14">
        <f>AE7*Assumptions!$C$9</f>
        <v>1570.6763422031311</v>
      </c>
      <c r="AF12" s="14">
        <f>AF7*Assumptions!$C$9</f>
        <v>1853.3980837996946</v>
      </c>
      <c r="AG12" s="14">
        <f>AG7*Assumptions!$C$9</f>
        <v>2187.0097388836398</v>
      </c>
      <c r="AH12" s="14">
        <f>AH7*Assumptions!$C$9</f>
        <v>2580.6714918826947</v>
      </c>
      <c r="AI12" s="14">
        <f>AI7*Assumptions!$C$9</f>
        <v>3045.1923604215795</v>
      </c>
      <c r="AJ12" s="14">
        <f>AJ7*Assumptions!$C$9</f>
        <v>3593.326985297464</v>
      </c>
      <c r="AK12" s="14">
        <f>AK7*Assumptions!$C$9</f>
        <v>4240.1258426510067</v>
      </c>
      <c r="AL12" s="14">
        <f>AL7*Assumptions!$C$9</f>
        <v>5003.3484943281883</v>
      </c>
      <c r="AM12" s="15">
        <f>AM7*Assumptions!$C$9</f>
        <v>5903.951223307261</v>
      </c>
      <c r="AN12" s="4"/>
    </row>
    <row r="13" spans="1:40" ht="15">
      <c r="A13" s="8" t="s">
        <v>140</v>
      </c>
      <c r="B13" s="34" t="s">
        <v>48</v>
      </c>
      <c r="C13" s="34" t="s">
        <v>141</v>
      </c>
      <c r="D13" s="14">
        <f>D7*(1-Assumptions!$C$9)</f>
        <v>12</v>
      </c>
      <c r="E13" s="14">
        <f>E7*(1-Assumptions!$C$9)</f>
        <v>14.16</v>
      </c>
      <c r="F13" s="14">
        <f>F7*(1-Assumptions!$C$9)</f>
        <v>16.7088</v>
      </c>
      <c r="G13" s="14">
        <f>G7*(1-Assumptions!$C$9)</f>
        <v>19.716384000000001</v>
      </c>
      <c r="H13" s="14">
        <f>H7*(1-Assumptions!$C$9)</f>
        <v>23.265333119999998</v>
      </c>
      <c r="I13" s="14">
        <f>I7*(1-Assumptions!$C$9)</f>
        <v>27.453093081599999</v>
      </c>
      <c r="J13" s="14">
        <f>J7*(1-Assumptions!$C$9)</f>
        <v>32.394649836287996</v>
      </c>
      <c r="K13" s="14">
        <f>K7*(1-Assumptions!$C$9)</f>
        <v>38.22568680681983</v>
      </c>
      <c r="L13" s="14">
        <f>L7*(1-Assumptions!$C$9)</f>
        <v>45.106310432047394</v>
      </c>
      <c r="M13" s="14">
        <f>M7*(1-Assumptions!$C$9)</f>
        <v>53.225446309815929</v>
      </c>
      <c r="N13" s="14">
        <f>N7*(1-Assumptions!$C$9)</f>
        <v>62.80602664558279</v>
      </c>
      <c r="O13" s="14">
        <f>O7*(1-Assumptions!$C$9)</f>
        <v>74.111111441787699</v>
      </c>
      <c r="P13" s="14">
        <f>P7*(1-Assumptions!$C$9)</f>
        <v>87.45111150130947</v>
      </c>
      <c r="Q13" s="14">
        <f>Q7*(1-Assumptions!$C$9)</f>
        <v>103.19231157154519</v>
      </c>
      <c r="R13" s="14">
        <f>R7*(1-Assumptions!$C$9)</f>
        <v>121.76692765442331</v>
      </c>
      <c r="S13" s="14">
        <f>S7*(1-Assumptions!$C$9)</f>
        <v>143.68497463221951</v>
      </c>
      <c r="T13" s="14">
        <f>T7*(1-Assumptions!$C$9)</f>
        <v>169.548270066019</v>
      </c>
      <c r="U13" s="14">
        <f>U7*(1-Assumptions!$C$9)</f>
        <v>200.06695867790242</v>
      </c>
      <c r="V13" s="14">
        <f>V7*(1-Assumptions!$C$9)</f>
        <v>236.07901123992485</v>
      </c>
      <c r="W13" s="14">
        <f>W7*(1-Assumptions!$C$9)</f>
        <v>278.57323326311132</v>
      </c>
      <c r="X13" s="14">
        <f>X7*(1-Assumptions!$C$9)</f>
        <v>328.7164152504713</v>
      </c>
      <c r="Y13" s="14">
        <f>Y7*(1-Assumptions!$C$9)</f>
        <v>387.88536999555618</v>
      </c>
      <c r="Z13" s="14">
        <f>Z7*(1-Assumptions!$C$9)</f>
        <v>457.70473659475624</v>
      </c>
      <c r="AA13" s="14">
        <f>AA7*(1-Assumptions!$C$9)</f>
        <v>540.09158918181231</v>
      </c>
      <c r="AB13" s="14">
        <f>AB7*(1-Assumptions!$C$9)</f>
        <v>637.30807523453859</v>
      </c>
      <c r="AC13" s="14">
        <f>AC7*(1-Assumptions!$C$9)</f>
        <v>752.02352877675548</v>
      </c>
      <c r="AD13" s="14">
        <f>AD7*(1-Assumptions!$C$9)</f>
        <v>887.38776395657135</v>
      </c>
      <c r="AE13" s="14">
        <f>AE7*(1-Assumptions!$C$9)</f>
        <v>1047.1175614687543</v>
      </c>
      <c r="AF13" s="14">
        <f>AF7*(1-Assumptions!$C$9)</f>
        <v>1235.5987225331301</v>
      </c>
      <c r="AG13" s="14">
        <f>AG7*(1-Assumptions!$C$9)</f>
        <v>1458.0064925890933</v>
      </c>
      <c r="AH13" s="14">
        <f>AH7*(1-Assumptions!$C$9)</f>
        <v>1720.4476612551298</v>
      </c>
      <c r="AI13" s="14">
        <f>AI7*(1-Assumptions!$C$9)</f>
        <v>2030.1282402810532</v>
      </c>
      <c r="AJ13" s="14">
        <f>AJ7*(1-Assumptions!$C$9)</f>
        <v>2395.5513235316425</v>
      </c>
      <c r="AK13" s="14">
        <f>AK7*(1-Assumptions!$C$9)</f>
        <v>2826.7505617673382</v>
      </c>
      <c r="AL13" s="14">
        <f>AL7*(1-Assumptions!$C$9)</f>
        <v>3335.565662885459</v>
      </c>
      <c r="AM13" s="15">
        <f>AM7*(1-Assumptions!$C$9)</f>
        <v>3935.967482204841</v>
      </c>
      <c r="AN13" s="4"/>
    </row>
    <row r="14" spans="1:40" ht="15">
      <c r="A14" s="8" t="s">
        <v>142</v>
      </c>
      <c r="B14" s="34" t="s">
        <v>48</v>
      </c>
      <c r="C14" s="34" t="s">
        <v>143</v>
      </c>
      <c r="D14" s="14">
        <f>D7*Assumptions!$C$10</f>
        <v>7.5</v>
      </c>
      <c r="E14" s="14">
        <f>E7*Assumptions!$C$10</f>
        <v>8.85</v>
      </c>
      <c r="F14" s="14">
        <f>F7*Assumptions!$C$10</f>
        <v>10.443</v>
      </c>
      <c r="G14" s="14">
        <f>G7*Assumptions!$C$10</f>
        <v>12.32274</v>
      </c>
      <c r="H14" s="14">
        <f>H7*Assumptions!$C$10</f>
        <v>14.540833199999998</v>
      </c>
      <c r="I14" s="14">
        <f>I7*Assumptions!$C$10</f>
        <v>17.158183175999998</v>
      </c>
      <c r="J14" s="14">
        <f>J7*Assumptions!$C$10</f>
        <v>20.246656147679996</v>
      </c>
      <c r="K14" s="14">
        <f>K7*Assumptions!$C$10</f>
        <v>23.891054254262393</v>
      </c>
      <c r="L14" s="14">
        <f>L7*Assumptions!$C$10</f>
        <v>28.191444020029621</v>
      </c>
      <c r="M14" s="14">
        <f>M7*Assumptions!$C$10</f>
        <v>33.265903943634953</v>
      </c>
      <c r="N14" s="14">
        <f>N7*Assumptions!$C$10</f>
        <v>39.253766653489244</v>
      </c>
      <c r="O14" s="14">
        <f>O7*Assumptions!$C$10</f>
        <v>46.319444651117308</v>
      </c>
      <c r="P14" s="14">
        <f>P7*Assumptions!$C$10</f>
        <v>54.656944688318418</v>
      </c>
      <c r="Q14" s="14">
        <f>Q7*Assumptions!$C$10</f>
        <v>64.495194732215737</v>
      </c>
      <c r="R14" s="14">
        <f>R7*Assumptions!$C$10</f>
        <v>76.104329784014567</v>
      </c>
      <c r="S14" s="14">
        <f>S7*Assumptions!$C$10</f>
        <v>89.803109145137185</v>
      </c>
      <c r="T14" s="14">
        <f>T7*Assumptions!$C$10</f>
        <v>105.96766879126187</v>
      </c>
      <c r="U14" s="14">
        <f>U7*Assumptions!$C$10</f>
        <v>125.041849173689</v>
      </c>
      <c r="V14" s="14">
        <f>V7*Assumptions!$C$10</f>
        <v>147.54938202495302</v>
      </c>
      <c r="W14" s="14">
        <f>W7*Assumptions!$C$10</f>
        <v>174.10827078944456</v>
      </c>
      <c r="X14" s="14">
        <f>X7*Assumptions!$C$10</f>
        <v>205.44775953154456</v>
      </c>
      <c r="Y14" s="14">
        <f>Y7*Assumptions!$C$10</f>
        <v>242.42835624722258</v>
      </c>
      <c r="Z14" s="14">
        <f>Z7*Assumptions!$C$10</f>
        <v>286.06546037172262</v>
      </c>
      <c r="AA14" s="14">
        <f>AA7*Assumptions!$C$10</f>
        <v>337.55724323863268</v>
      </c>
      <c r="AB14" s="14">
        <f>AB7*Assumptions!$C$10</f>
        <v>398.31754702158656</v>
      </c>
      <c r="AC14" s="14">
        <f>AC7*Assumptions!$C$10</f>
        <v>470.01470548547212</v>
      </c>
      <c r="AD14" s="14">
        <f>AD7*Assumptions!$C$10</f>
        <v>554.61735247285708</v>
      </c>
      <c r="AE14" s="14">
        <f>AE7*Assumptions!$C$10</f>
        <v>654.44847591797134</v>
      </c>
      <c r="AF14" s="14">
        <f>AF7*Assumptions!$C$10</f>
        <v>772.24920158320617</v>
      </c>
      <c r="AG14" s="14">
        <f>AG7*Assumptions!$C$10</f>
        <v>911.25405786818328</v>
      </c>
      <c r="AH14" s="14">
        <f>AH7*Assumptions!$C$10</f>
        <v>1075.2797882844561</v>
      </c>
      <c r="AI14" s="14">
        <f>AI7*Assumptions!$C$10</f>
        <v>1268.8301501756582</v>
      </c>
      <c r="AJ14" s="14">
        <f>AJ7*Assumptions!$C$10</f>
        <v>1497.2195772072766</v>
      </c>
      <c r="AK14" s="14">
        <f>AK7*Assumptions!$C$10</f>
        <v>1766.7191011045863</v>
      </c>
      <c r="AL14" s="14">
        <f>AL7*Assumptions!$C$10</f>
        <v>2084.7285393034117</v>
      </c>
      <c r="AM14" s="15">
        <f>AM7*Assumptions!$C$10</f>
        <v>2459.9796763780255</v>
      </c>
      <c r="AN14" s="4"/>
    </row>
    <row r="15" spans="1:40" ht="15">
      <c r="A15" s="8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8"/>
      <c r="AN15" s="4"/>
    </row>
    <row r="16" spans="1:40" ht="15">
      <c r="A16" s="50" t="s">
        <v>15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2"/>
      <c r="AN16" s="4"/>
    </row>
    <row r="17" spans="1:40" ht="15">
      <c r="A17" s="8" t="s">
        <v>144</v>
      </c>
      <c r="B17" s="34" t="s">
        <v>85</v>
      </c>
      <c r="C17" s="34" t="s">
        <v>145</v>
      </c>
      <c r="D17" s="9">
        <f>D12*Assumptions!$C$6</f>
        <v>882</v>
      </c>
      <c r="E17" s="9">
        <f>E12*Assumptions!$C$6</f>
        <v>1040.76</v>
      </c>
      <c r="F17" s="9">
        <f>F12*Assumptions!$C$6</f>
        <v>1228.0968</v>
      </c>
      <c r="G17" s="9">
        <f>G12*Assumptions!$C$6</f>
        <v>1449.1542239999999</v>
      </c>
      <c r="H17" s="9">
        <f>H12*Assumptions!$C$6</f>
        <v>1710.0019843199996</v>
      </c>
      <c r="I17" s="9">
        <f>I12*Assumptions!$C$6</f>
        <v>2017.8023414975999</v>
      </c>
      <c r="J17" s="9">
        <f>J12*Assumptions!$C$6</f>
        <v>2381.0067629671676</v>
      </c>
      <c r="K17" s="9">
        <f>K12*Assumptions!$C$6</f>
        <v>2809.5879803012572</v>
      </c>
      <c r="L17" s="9">
        <f>L12*Assumptions!$C$6</f>
        <v>3315.3138167554835</v>
      </c>
      <c r="M17" s="9">
        <f>M12*Assumptions!$C$6</f>
        <v>3912.0703037714707</v>
      </c>
      <c r="N17" s="9">
        <f>N12*Assumptions!$C$6</f>
        <v>4616.2429584503352</v>
      </c>
      <c r="O17" s="9">
        <f>O12*Assumptions!$C$6</f>
        <v>5447.1666909713949</v>
      </c>
      <c r="P17" s="9">
        <f>P12*Assumptions!$C$6</f>
        <v>6427.6566953462461</v>
      </c>
      <c r="Q17" s="9">
        <f>Q12*Assumptions!$C$6</f>
        <v>7584.6349005085704</v>
      </c>
      <c r="R17" s="9">
        <f>R12*Assumptions!$C$6</f>
        <v>8949.8691826001123</v>
      </c>
      <c r="S17" s="9">
        <f>S12*Assumptions!$C$6</f>
        <v>10560.845635468133</v>
      </c>
      <c r="T17" s="9">
        <f>T12*Assumptions!$C$6</f>
        <v>12461.797849852395</v>
      </c>
      <c r="U17" s="9">
        <f>U12*Assumptions!$C$6</f>
        <v>14704.921462825827</v>
      </c>
      <c r="V17" s="9">
        <f>V12*Assumptions!$C$6</f>
        <v>17351.807326134473</v>
      </c>
      <c r="W17" s="9">
        <f>W12*Assumptions!$C$6</f>
        <v>20475.132644838679</v>
      </c>
      <c r="X17" s="9">
        <f>X12*Assumptions!$C$6</f>
        <v>24160.656520909641</v>
      </c>
      <c r="Y17" s="9">
        <f>Y12*Assumptions!$C$6</f>
        <v>28509.574694673374</v>
      </c>
      <c r="Z17" s="9">
        <f>Z12*Assumptions!$C$6</f>
        <v>33641.298139714578</v>
      </c>
      <c r="AA17" s="9">
        <f>AA12*Assumptions!$C$6</f>
        <v>39696.731804863201</v>
      </c>
      <c r="AB17" s="9">
        <f>AB12*Assumptions!$C$6</f>
        <v>46842.143529738576</v>
      </c>
      <c r="AC17" s="9">
        <f>AC12*Assumptions!$C$6</f>
        <v>55273.729365091516</v>
      </c>
      <c r="AD17" s="9">
        <f>AD12*Assumptions!$C$6</f>
        <v>65223.000650807982</v>
      </c>
      <c r="AE17" s="9">
        <f>AE12*Assumptions!$C$6</f>
        <v>76963.140767953417</v>
      </c>
      <c r="AF17" s="9">
        <f>AF12*Assumptions!$C$6</f>
        <v>90816.506106185043</v>
      </c>
      <c r="AG17" s="9">
        <f>AG12*Assumptions!$C$6</f>
        <v>107163.47720529835</v>
      </c>
      <c r="AH17" s="9">
        <f>AH12*Assumptions!$C$6</f>
        <v>126452.90310225204</v>
      </c>
      <c r="AI17" s="9">
        <f>AI12*Assumptions!$C$6</f>
        <v>149214.42566065741</v>
      </c>
      <c r="AJ17" s="9">
        <f>AJ12*Assumptions!$C$6</f>
        <v>176073.02227957573</v>
      </c>
      <c r="AK17" s="9">
        <f>AK12*Assumptions!$C$6</f>
        <v>207766.16628989932</v>
      </c>
      <c r="AL17" s="9">
        <f>AL12*Assumptions!$C$6</f>
        <v>245164.07622208123</v>
      </c>
      <c r="AM17" s="10">
        <f>AM12*Assumptions!$C$6</f>
        <v>289293.60994205577</v>
      </c>
      <c r="AN17" s="4"/>
    </row>
    <row r="18" spans="1:40" ht="15">
      <c r="A18" s="8" t="s">
        <v>146</v>
      </c>
      <c r="B18" s="34" t="s">
        <v>85</v>
      </c>
      <c r="C18" s="34" t="s">
        <v>147</v>
      </c>
      <c r="D18" s="9">
        <f>D13*Assumptions!$C$7</f>
        <v>948</v>
      </c>
      <c r="E18" s="9">
        <f>E13*Assumptions!$C$7</f>
        <v>1118.6400000000001</v>
      </c>
      <c r="F18" s="9">
        <f>F13*Assumptions!$C$7</f>
        <v>1319.9952000000001</v>
      </c>
      <c r="G18" s="9">
        <f>G13*Assumptions!$C$7</f>
        <v>1557.5943360000001</v>
      </c>
      <c r="H18" s="9">
        <f>H13*Assumptions!$C$7</f>
        <v>1837.9613164799998</v>
      </c>
      <c r="I18" s="9">
        <f>I13*Assumptions!$C$7</f>
        <v>2168.7943534463998</v>
      </c>
      <c r="J18" s="9">
        <f>J13*Assumptions!$C$7</f>
        <v>2559.1773370667515</v>
      </c>
      <c r="K18" s="9">
        <f>K13*Assumptions!$C$7</f>
        <v>3019.8292577387665</v>
      </c>
      <c r="L18" s="9">
        <f>L13*Assumptions!$C$7</f>
        <v>3563.3985241317441</v>
      </c>
      <c r="M18" s="9">
        <f>M13*Assumptions!$C$7</f>
        <v>4204.8102584754588</v>
      </c>
      <c r="N18" s="9">
        <f>N13*Assumptions!$C$7</f>
        <v>4961.67610500104</v>
      </c>
      <c r="O18" s="9">
        <f>O13*Assumptions!$C$7</f>
        <v>5854.7778039012283</v>
      </c>
      <c r="P18" s="9">
        <f>P13*Assumptions!$C$7</f>
        <v>6908.6378086034483</v>
      </c>
      <c r="Q18" s="9">
        <f>Q13*Assumptions!$C$7</f>
        <v>8152.1926141520698</v>
      </c>
      <c r="R18" s="9">
        <f>R13*Assumptions!$C$7</f>
        <v>9619.5872846994425</v>
      </c>
      <c r="S18" s="9">
        <f>S13*Assumptions!$C$7</f>
        <v>11351.112995945341</v>
      </c>
      <c r="T18" s="9">
        <f>T13*Assumptions!$C$7</f>
        <v>13394.313335215502</v>
      </c>
      <c r="U18" s="9">
        <f>U13*Assumptions!$C$7</f>
        <v>15805.289735554292</v>
      </c>
      <c r="V18" s="9">
        <f>V13*Assumptions!$C$7</f>
        <v>18650.241887954064</v>
      </c>
      <c r="W18" s="9">
        <f>W13*Assumptions!$C$7</f>
        <v>22007.285427785795</v>
      </c>
      <c r="X18" s="9">
        <f>X13*Assumptions!$C$7</f>
        <v>25968.596804787234</v>
      </c>
      <c r="Y18" s="9">
        <f>Y13*Assumptions!$C$7</f>
        <v>30642.944229648936</v>
      </c>
      <c r="Z18" s="9">
        <f>Z13*Assumptions!$C$7</f>
        <v>36158.674190985745</v>
      </c>
      <c r="AA18" s="9">
        <f>AA13*Assumptions!$C$7</f>
        <v>42667.235545363175</v>
      </c>
      <c r="AB18" s="9">
        <f>AB13*Assumptions!$C$7</f>
        <v>50347.337943528546</v>
      </c>
      <c r="AC18" s="9">
        <f>AC13*Assumptions!$C$7</f>
        <v>59409.858773363681</v>
      </c>
      <c r="AD18" s="9">
        <f>AD13*Assumptions!$C$7</f>
        <v>70103.63335256913</v>
      </c>
      <c r="AE18" s="9">
        <f>AE13*Assumptions!$C$7</f>
        <v>82722.287356031593</v>
      </c>
      <c r="AF18" s="9">
        <f>AF13*Assumptions!$C$7</f>
        <v>97612.299080117271</v>
      </c>
      <c r="AG18" s="9">
        <f>AG13*Assumptions!$C$7</f>
        <v>115182.51291453837</v>
      </c>
      <c r="AH18" s="9">
        <f>AH13*Assumptions!$C$7</f>
        <v>135915.36523915525</v>
      </c>
      <c r="AI18" s="9">
        <f>AI13*Assumptions!$C$7</f>
        <v>160380.13098220321</v>
      </c>
      <c r="AJ18" s="9">
        <f>AJ13*Assumptions!$C$7</f>
        <v>189248.55455899975</v>
      </c>
      <c r="AK18" s="9">
        <f>AK13*Assumptions!$C$7</f>
        <v>223313.29437961971</v>
      </c>
      <c r="AL18" s="9">
        <f>AL13*Assumptions!$C$7</f>
        <v>263509.68736795126</v>
      </c>
      <c r="AM18" s="10">
        <f>AM13*Assumptions!$C$7</f>
        <v>310941.43109418242</v>
      </c>
      <c r="AN18" s="4"/>
    </row>
    <row r="19" spans="1:40" ht="27">
      <c r="A19" s="8" t="s">
        <v>148</v>
      </c>
      <c r="B19" s="34" t="s">
        <v>85</v>
      </c>
      <c r="C19" s="34" t="s">
        <v>149</v>
      </c>
      <c r="D19" s="9">
        <f>D14*Assumptions!$C$8</f>
        <v>142.5</v>
      </c>
      <c r="E19" s="9">
        <f>E14*Assumptions!$C$8</f>
        <v>168.15</v>
      </c>
      <c r="F19" s="9">
        <f>F14*Assumptions!$C$8</f>
        <v>198.417</v>
      </c>
      <c r="G19" s="9">
        <f>G14*Assumptions!$C$8</f>
        <v>234.13206</v>
      </c>
      <c r="H19" s="9">
        <f>H14*Assumptions!$C$8</f>
        <v>276.27583079999994</v>
      </c>
      <c r="I19" s="9">
        <f>I14*Assumptions!$C$8</f>
        <v>326.00548034399998</v>
      </c>
      <c r="J19" s="9">
        <f>J14*Assumptions!$C$8</f>
        <v>384.68646680591991</v>
      </c>
      <c r="K19" s="9">
        <f>K14*Assumptions!$C$8</f>
        <v>453.93003083098546</v>
      </c>
      <c r="L19" s="9">
        <f>L14*Assumptions!$C$8</f>
        <v>535.6374363805628</v>
      </c>
      <c r="M19" s="9">
        <f>M14*Assumptions!$C$8</f>
        <v>632.05217492906411</v>
      </c>
      <c r="N19" s="9">
        <f>N14*Assumptions!$C$8</f>
        <v>745.82156641629558</v>
      </c>
      <c r="O19" s="9">
        <f>O14*Assumptions!$C$8</f>
        <v>880.06944837122887</v>
      </c>
      <c r="P19" s="9">
        <f>P14*Assumptions!$C$8</f>
        <v>1038.4819490780499</v>
      </c>
      <c r="Q19" s="9">
        <f>Q14*Assumptions!$C$8</f>
        <v>1225.4086999120991</v>
      </c>
      <c r="R19" s="9">
        <f>R14*Assumptions!$C$8</f>
        <v>1445.9822658962767</v>
      </c>
      <c r="S19" s="9">
        <f>S14*Assumptions!$C$8</f>
        <v>1706.2590737576065</v>
      </c>
      <c r="T19" s="9">
        <f>T14*Assumptions!$C$8</f>
        <v>2013.3857070339755</v>
      </c>
      <c r="U19" s="9">
        <f>U14*Assumptions!$C$8</f>
        <v>2375.7951343000909</v>
      </c>
      <c r="V19" s="9">
        <f>V14*Assumptions!$C$8</f>
        <v>2803.4382584741074</v>
      </c>
      <c r="W19" s="9">
        <f>W14*Assumptions!$C$8</f>
        <v>3308.0571449994468</v>
      </c>
      <c r="X19" s="9">
        <f>X14*Assumptions!$C$8</f>
        <v>3903.5074310993468</v>
      </c>
      <c r="Y19" s="9">
        <f>Y14*Assumptions!$C$8</f>
        <v>4606.1387686972294</v>
      </c>
      <c r="Z19" s="9">
        <f>Z14*Assumptions!$C$8</f>
        <v>5435.2437470627301</v>
      </c>
      <c r="AA19" s="9">
        <f>AA14*Assumptions!$C$8</f>
        <v>6413.5876215340213</v>
      </c>
      <c r="AB19" s="9">
        <f>AB14*Assumptions!$C$8</f>
        <v>7568.0333934101445</v>
      </c>
      <c r="AC19" s="9">
        <f>AC14*Assumptions!$C$8</f>
        <v>8930.2794042239711</v>
      </c>
      <c r="AD19" s="9">
        <f>AD14*Assumptions!$C$8</f>
        <v>10537.729696984285</v>
      </c>
      <c r="AE19" s="9">
        <f>AE14*Assumptions!$C$8</f>
        <v>12434.521042441454</v>
      </c>
      <c r="AF19" s="9">
        <f>AF14*Assumptions!$C$8</f>
        <v>14672.734830080917</v>
      </c>
      <c r="AG19" s="9">
        <f>AG14*Assumptions!$C$8</f>
        <v>17313.827099495484</v>
      </c>
      <c r="AH19" s="9">
        <f>AH14*Assumptions!$C$8</f>
        <v>20430.315977404665</v>
      </c>
      <c r="AI19" s="9">
        <f>AI14*Assumptions!$C$8</f>
        <v>24107.772853337505</v>
      </c>
      <c r="AJ19" s="9">
        <f>AJ14*Assumptions!$C$8</f>
        <v>28447.171966938255</v>
      </c>
      <c r="AK19" s="9">
        <f>AK14*Assumptions!$C$8</f>
        <v>33567.662920987139</v>
      </c>
      <c r="AL19" s="9">
        <f>AL14*Assumptions!$C$8</f>
        <v>39609.84224676482</v>
      </c>
      <c r="AM19" s="10">
        <f>AM14*Assumptions!$C$8</f>
        <v>46739.613851182483</v>
      </c>
      <c r="AN19" s="4"/>
    </row>
    <row r="20" spans="1:40" ht="15">
      <c r="A20" s="8" t="s">
        <v>9</v>
      </c>
      <c r="B20" s="34" t="s">
        <v>85</v>
      </c>
      <c r="C20" s="34" t="s">
        <v>150</v>
      </c>
      <c r="D20" s="9">
        <f t="shared" ref="D20:AM20" si="1">SUM(D17:D19)</f>
        <v>1972.5</v>
      </c>
      <c r="E20" s="9">
        <f t="shared" si="1"/>
        <v>2327.5500000000002</v>
      </c>
      <c r="F20" s="9">
        <f t="shared" si="1"/>
        <v>2746.509</v>
      </c>
      <c r="G20" s="9">
        <f t="shared" si="1"/>
        <v>3240.8806199999999</v>
      </c>
      <c r="H20" s="9">
        <f t="shared" si="1"/>
        <v>3824.2391315999989</v>
      </c>
      <c r="I20" s="9">
        <f t="shared" si="1"/>
        <v>4512.6021752879997</v>
      </c>
      <c r="J20" s="9">
        <f t="shared" si="1"/>
        <v>5324.8705668398388</v>
      </c>
      <c r="K20" s="9">
        <f t="shared" si="1"/>
        <v>6283.347268871009</v>
      </c>
      <c r="L20" s="9">
        <f t="shared" si="1"/>
        <v>7414.3497772677902</v>
      </c>
      <c r="M20" s="9">
        <f t="shared" si="1"/>
        <v>8748.9327371759937</v>
      </c>
      <c r="N20" s="9">
        <f t="shared" si="1"/>
        <v>10323.740629867672</v>
      </c>
      <c r="O20" s="9">
        <f t="shared" si="1"/>
        <v>12182.013943243852</v>
      </c>
      <c r="P20" s="9">
        <f t="shared" si="1"/>
        <v>14374.776453027745</v>
      </c>
      <c r="Q20" s="9">
        <f t="shared" si="1"/>
        <v>16962.236214572738</v>
      </c>
      <c r="R20" s="9">
        <f t="shared" si="1"/>
        <v>20015.438733195831</v>
      </c>
      <c r="S20" s="9">
        <f t="shared" si="1"/>
        <v>23618.217705171079</v>
      </c>
      <c r="T20" s="9">
        <f t="shared" si="1"/>
        <v>27869.496892101874</v>
      </c>
      <c r="U20" s="9">
        <f t="shared" si="1"/>
        <v>32886.006332680212</v>
      </c>
      <c r="V20" s="9">
        <f t="shared" si="1"/>
        <v>38805.487472562643</v>
      </c>
      <c r="W20" s="9">
        <f t="shared" si="1"/>
        <v>45790.47521762392</v>
      </c>
      <c r="X20" s="9">
        <f t="shared" si="1"/>
        <v>54032.760756796219</v>
      </c>
      <c r="Y20" s="9">
        <f t="shared" si="1"/>
        <v>63758.657693019544</v>
      </c>
      <c r="Z20" s="9">
        <f t="shared" si="1"/>
        <v>75235.216077763049</v>
      </c>
      <c r="AA20" s="9">
        <f t="shared" si="1"/>
        <v>88777.554971760401</v>
      </c>
      <c r="AB20" s="9">
        <f t="shared" si="1"/>
        <v>104757.51486667727</v>
      </c>
      <c r="AC20" s="9">
        <f t="shared" si="1"/>
        <v>123613.86754267917</v>
      </c>
      <c r="AD20" s="9">
        <f t="shared" si="1"/>
        <v>145864.3637003614</v>
      </c>
      <c r="AE20" s="9">
        <f t="shared" si="1"/>
        <v>172119.94916642646</v>
      </c>
      <c r="AF20" s="9">
        <f t="shared" si="1"/>
        <v>203101.54001638322</v>
      </c>
      <c r="AG20" s="9">
        <f t="shared" si="1"/>
        <v>239659.81721933218</v>
      </c>
      <c r="AH20" s="9">
        <f t="shared" si="1"/>
        <v>282798.58431881195</v>
      </c>
      <c r="AI20" s="9">
        <f t="shared" si="1"/>
        <v>333702.32949619816</v>
      </c>
      <c r="AJ20" s="9">
        <f t="shared" si="1"/>
        <v>393768.74880551372</v>
      </c>
      <c r="AK20" s="9">
        <f t="shared" si="1"/>
        <v>464647.12359050615</v>
      </c>
      <c r="AL20" s="9">
        <f t="shared" si="1"/>
        <v>548283.60583679727</v>
      </c>
      <c r="AM20" s="10">
        <f t="shared" si="1"/>
        <v>646974.65488742071</v>
      </c>
      <c r="AN20" s="4"/>
    </row>
    <row r="21" spans="1:40" ht="15">
      <c r="A21" s="8"/>
      <c r="B21" s="34"/>
      <c r="C21" s="34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10"/>
      <c r="AN21" s="4"/>
    </row>
    <row r="22" spans="1:40" ht="15">
      <c r="A22" s="50" t="s">
        <v>59</v>
      </c>
      <c r="B22" s="51"/>
      <c r="C22" s="51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6"/>
      <c r="AN22" s="4"/>
    </row>
    <row r="23" spans="1:40" ht="27">
      <c r="A23" s="8" t="s">
        <v>151</v>
      </c>
      <c r="B23" s="34" t="s">
        <v>85</v>
      </c>
      <c r="C23" s="34" t="s">
        <v>152</v>
      </c>
      <c r="D23" s="9">
        <f>D20*Assumptions!$C$15+D7*Assumptions!$C$16</f>
        <v>99.037500000000009</v>
      </c>
      <c r="E23" s="9">
        <f>E20*Assumptions!$C$15+E7*Assumptions!$C$16</f>
        <v>116.86425000000003</v>
      </c>
      <c r="F23" s="9">
        <f>F20*Assumptions!$C$15+F7*Assumptions!$C$16</f>
        <v>137.89981500000002</v>
      </c>
      <c r="G23" s="9">
        <f>G20*Assumptions!$C$15+G7*Assumptions!$C$16</f>
        <v>162.72178170000001</v>
      </c>
      <c r="H23" s="9">
        <f>H20*Assumptions!$C$15+H7*Assumptions!$C$16</f>
        <v>192.01170240599998</v>
      </c>
      <c r="I23" s="9">
        <f>I20*Assumptions!$C$15+I7*Assumptions!$C$16</f>
        <v>226.57380883908002</v>
      </c>
      <c r="J23" s="9">
        <f>J20*Assumptions!$C$15+J7*Assumptions!$C$16</f>
        <v>267.35709443011439</v>
      </c>
      <c r="K23" s="9">
        <f>K20*Assumptions!$C$15+K7*Assumptions!$C$16</f>
        <v>315.4813714275349</v>
      </c>
      <c r="L23" s="9">
        <f>L20*Assumptions!$C$15+L7*Assumptions!$C$16</f>
        <v>372.26801828449118</v>
      </c>
      <c r="M23" s="9">
        <f>M20*Assumptions!$C$15+M7*Assumptions!$C$16</f>
        <v>439.27626157569961</v>
      </c>
      <c r="N23" s="9">
        <f>N20*Assumptions!$C$15+N7*Assumptions!$C$16</f>
        <v>518.3459886593256</v>
      </c>
      <c r="O23" s="9">
        <f>O20*Assumptions!$C$15+O7*Assumptions!$C$16</f>
        <v>611.64826661800407</v>
      </c>
      <c r="P23" s="9">
        <f>P20*Assumptions!$C$15+P7*Assumptions!$C$16</f>
        <v>721.74495460924481</v>
      </c>
      <c r="Q23" s="9">
        <f>Q20*Assumptions!$C$15+Q7*Assumptions!$C$16</f>
        <v>851.65904643890883</v>
      </c>
      <c r="R23" s="9">
        <f>R20*Assumptions!$C$15+R7*Assumptions!$C$16</f>
        <v>1004.9576747979124</v>
      </c>
      <c r="S23" s="9">
        <f>S20*Assumptions!$C$15+S7*Assumptions!$C$16</f>
        <v>1185.8500562615366</v>
      </c>
      <c r="T23" s="9">
        <f>T20*Assumptions!$C$15+T7*Assumptions!$C$16</f>
        <v>1399.3030663886132</v>
      </c>
      <c r="U23" s="9">
        <f>U20*Assumptions!$C$15+U7*Assumptions!$C$16</f>
        <v>1651.1776183385634</v>
      </c>
      <c r="V23" s="9">
        <f>V20*Assumptions!$C$15+V7*Assumptions!$C$16</f>
        <v>1948.3895896395047</v>
      </c>
      <c r="W23" s="9">
        <f>W20*Assumptions!$C$15+W7*Assumptions!$C$16</f>
        <v>2299.0997157746156</v>
      </c>
      <c r="X23" s="9">
        <f>X20*Assumptions!$C$15+X7*Assumptions!$C$16</f>
        <v>2712.9376646140463</v>
      </c>
      <c r="Y23" s="9">
        <f>Y20*Assumptions!$C$15+Y7*Assumptions!$C$16</f>
        <v>3201.2664442445748</v>
      </c>
      <c r="Z23" s="9">
        <f>Z20*Assumptions!$C$15+Z7*Assumptions!$C$16</f>
        <v>3777.4944042085972</v>
      </c>
      <c r="AA23" s="9">
        <f>AA20*Assumptions!$C$15+AA7*Assumptions!$C$16</f>
        <v>4457.443396966145</v>
      </c>
      <c r="AB23" s="9">
        <f>AB20*Assumptions!$C$15+AB7*Assumptions!$C$16</f>
        <v>5259.7832084200509</v>
      </c>
      <c r="AC23" s="9">
        <f>AC20*Assumptions!$C$15+AC7*Assumptions!$C$16</f>
        <v>6206.5441859356606</v>
      </c>
      <c r="AD23" s="9">
        <f>AD20*Assumptions!$C$15+AD7*Assumptions!$C$16</f>
        <v>7323.7221394040771</v>
      </c>
      <c r="AE23" s="9">
        <f>AE20*Assumptions!$C$15+AE7*Assumptions!$C$16</f>
        <v>8641.9921244968118</v>
      </c>
      <c r="AF23" s="9">
        <f>AF20*Assumptions!$C$15+AF7*Assumptions!$C$16</f>
        <v>10197.550706906239</v>
      </c>
      <c r="AG23" s="9">
        <f>AG20*Assumptions!$C$15+AG7*Assumptions!$C$16</f>
        <v>12033.10983414936</v>
      </c>
      <c r="AH23" s="9">
        <f>AH20*Assumptions!$C$15+AH7*Assumptions!$C$16</f>
        <v>14199.069604296243</v>
      </c>
      <c r="AI23" s="9">
        <f>AI20*Assumptions!$C$15+AI7*Assumptions!$C$16</f>
        <v>16754.902133069569</v>
      </c>
      <c r="AJ23" s="9">
        <f>AJ20*Assumptions!$C$15+AJ7*Assumptions!$C$16</f>
        <v>19770.78451702209</v>
      </c>
      <c r="AK23" s="9">
        <f>AK20*Assumptions!$C$15+AK7*Assumptions!$C$16</f>
        <v>23329.525730086061</v>
      </c>
      <c r="AL23" s="9">
        <f>AL20*Assumptions!$C$15+AL7*Assumptions!$C$16</f>
        <v>27528.840361501552</v>
      </c>
      <c r="AM23" s="10">
        <f>AM20*Assumptions!$C$15+AM7*Assumptions!$C$16</f>
        <v>32484.031626571828</v>
      </c>
      <c r="AN23" s="4"/>
    </row>
    <row r="24" spans="1:40" ht="15">
      <c r="A24" s="8" t="s">
        <v>153</v>
      </c>
      <c r="B24" s="34" t="s">
        <v>85</v>
      </c>
      <c r="C24" s="34" t="s">
        <v>154</v>
      </c>
      <c r="D24" s="9">
        <f>D14*Assumptions!$C$17</f>
        <v>37.5</v>
      </c>
      <c r="E24" s="9">
        <f>E14*Assumptions!$C$17</f>
        <v>44.25</v>
      </c>
      <c r="F24" s="9">
        <f>F14*Assumptions!$C$17</f>
        <v>52.214999999999996</v>
      </c>
      <c r="G24" s="9">
        <f>G14*Assumptions!$C$17</f>
        <v>61.613699999999994</v>
      </c>
      <c r="H24" s="9">
        <f>H14*Assumptions!$C$17</f>
        <v>72.704165999999987</v>
      </c>
      <c r="I24" s="9">
        <f>I14*Assumptions!$C$17</f>
        <v>85.790915879999986</v>
      </c>
      <c r="J24" s="9">
        <f>J14*Assumptions!$C$17</f>
        <v>101.23328073839998</v>
      </c>
      <c r="K24" s="9">
        <f>K14*Assumptions!$C$17</f>
        <v>119.45527127131197</v>
      </c>
      <c r="L24" s="9">
        <f>L14*Assumptions!$C$17</f>
        <v>140.95722010014811</v>
      </c>
      <c r="M24" s="9">
        <f>M14*Assumptions!$C$17</f>
        <v>166.32951971817477</v>
      </c>
      <c r="N24" s="9">
        <f>N14*Assumptions!$C$17</f>
        <v>196.26883326744621</v>
      </c>
      <c r="O24" s="9">
        <f>O14*Assumptions!$C$17</f>
        <v>231.59722325558653</v>
      </c>
      <c r="P24" s="9">
        <f>P14*Assumptions!$C$17</f>
        <v>273.28472344159206</v>
      </c>
      <c r="Q24" s="9">
        <f>Q14*Assumptions!$C$17</f>
        <v>322.47597366107868</v>
      </c>
      <c r="R24" s="9">
        <f>R14*Assumptions!$C$17</f>
        <v>380.52164892007283</v>
      </c>
      <c r="S24" s="9">
        <f>S14*Assumptions!$C$17</f>
        <v>449.01554572568591</v>
      </c>
      <c r="T24" s="9">
        <f>T14*Assumptions!$C$17</f>
        <v>529.83834395630936</v>
      </c>
      <c r="U24" s="9">
        <f>U14*Assumptions!$C$17</f>
        <v>625.20924586844501</v>
      </c>
      <c r="V24" s="9">
        <f>V14*Assumptions!$C$17</f>
        <v>737.74691012476512</v>
      </c>
      <c r="W24" s="9">
        <f>W14*Assumptions!$C$17</f>
        <v>870.54135394722277</v>
      </c>
      <c r="X24" s="9">
        <f>X14*Assumptions!$C$17</f>
        <v>1027.2387976577229</v>
      </c>
      <c r="Y24" s="9">
        <f>Y14*Assumptions!$C$17</f>
        <v>1212.1417812361128</v>
      </c>
      <c r="Z24" s="9">
        <f>Z14*Assumptions!$C$17</f>
        <v>1430.3273018586131</v>
      </c>
      <c r="AA24" s="9">
        <f>AA14*Assumptions!$C$17</f>
        <v>1687.7862161931635</v>
      </c>
      <c r="AB24" s="9">
        <f>AB14*Assumptions!$C$17</f>
        <v>1991.5877351079328</v>
      </c>
      <c r="AC24" s="9">
        <f>AC14*Assumptions!$C$17</f>
        <v>2350.0735274273607</v>
      </c>
      <c r="AD24" s="9">
        <f>AD14*Assumptions!$C$17</f>
        <v>2773.0867623642853</v>
      </c>
      <c r="AE24" s="9">
        <f>AE14*Assumptions!$C$17</f>
        <v>3272.2423795898567</v>
      </c>
      <c r="AF24" s="9">
        <f>AF14*Assumptions!$C$17</f>
        <v>3861.246007916031</v>
      </c>
      <c r="AG24" s="9">
        <f>AG14*Assumptions!$C$17</f>
        <v>4556.2702893409169</v>
      </c>
      <c r="AH24" s="9">
        <f>AH14*Assumptions!$C$17</f>
        <v>5376.3989414222806</v>
      </c>
      <c r="AI24" s="9">
        <f>AI14*Assumptions!$C$17</f>
        <v>6344.1507508782906</v>
      </c>
      <c r="AJ24" s="9">
        <f>AJ14*Assumptions!$C$17</f>
        <v>7486.097886036383</v>
      </c>
      <c r="AK24" s="9">
        <f>AK14*Assumptions!$C$17</f>
        <v>8833.5955055229315</v>
      </c>
      <c r="AL24" s="9">
        <f>AL14*Assumptions!$C$17</f>
        <v>10423.642696517058</v>
      </c>
      <c r="AM24" s="10">
        <f>AM14*Assumptions!$C$17</f>
        <v>12299.898381890127</v>
      </c>
      <c r="AN24" s="4"/>
    </row>
    <row r="25" spans="1:40" ht="27">
      <c r="A25" s="8" t="s">
        <v>155</v>
      </c>
      <c r="B25" s="34" t="s">
        <v>85</v>
      </c>
      <c r="C25" s="34" t="s">
        <v>156</v>
      </c>
      <c r="D25" s="9">
        <f>D9*Assumptions!$C$18</f>
        <v>24</v>
      </c>
      <c r="E25" s="9">
        <f>E9*Assumptions!$C$18</f>
        <v>51.6</v>
      </c>
      <c r="F25" s="9">
        <f>F9*Assumptions!$C$18</f>
        <v>83.4696</v>
      </c>
      <c r="G25" s="9">
        <f>G9*Assumptions!$C$18</f>
        <v>120.39827999999999</v>
      </c>
      <c r="H25" s="9">
        <f>H9*Assumptions!$C$18</f>
        <v>163.31699783999997</v>
      </c>
      <c r="I25" s="9">
        <f>I9*Assumptions!$C$18</f>
        <v>213.32367406799995</v>
      </c>
      <c r="J25" s="9">
        <f>J9*Assumptions!$C$18</f>
        <v>271.71326351853594</v>
      </c>
      <c r="K25" s="9">
        <f>K9*Assumptions!$C$18</f>
        <v>340.01323922661959</v>
      </c>
      <c r="L25" s="9">
        <f>L9*Assumptions!$C$18</f>
        <v>420.02546291391582</v>
      </c>
      <c r="M25" s="9">
        <f>M9*Assumptions!$C$18</f>
        <v>513.87559164613026</v>
      </c>
      <c r="N25" s="9">
        <f>N9*Assumptions!$C$18</f>
        <v>624.07137718791182</v>
      </c>
      <c r="O25" s="9">
        <f>O9*Assumptions!$C$18</f>
        <v>753.5714587558499</v>
      </c>
      <c r="P25" s="9">
        <f>P9*Assumptions!$C$18</f>
        <v>905.86653799579335</v>
      </c>
      <c r="Q25" s="9">
        <f>Q9*Assumptions!$C$18</f>
        <v>1085.0751649990098</v>
      </c>
      <c r="R25" s="9">
        <f>R9*Assumptions!$C$18</f>
        <v>1296.0567653578862</v>
      </c>
      <c r="S25" s="9">
        <f>S9*Assumptions!$C$18</f>
        <v>1544.5450116615884</v>
      </c>
      <c r="T25" s="9">
        <f>T9*Assumptions!$C$18</f>
        <v>1837.305201443779</v>
      </c>
      <c r="U25" s="9">
        <f>U9*Assumptions!$C$18</f>
        <v>2182.3199627562703</v>
      </c>
      <c r="V25" s="9">
        <f>V9*Assumptions!$C$18</f>
        <v>2589.0083863534323</v>
      </c>
      <c r="W25" s="9">
        <f>W9*Assumptions!$C$18</f>
        <v>3068.4846012890521</v>
      </c>
      <c r="X25" s="9">
        <f>X9*Assumptions!$C$18</f>
        <v>3633.8628937513236</v>
      </c>
      <c r="Y25" s="9">
        <f>Y9*Assumptions!$C$18</f>
        <v>4300.6177469298955</v>
      </c>
      <c r="Z25" s="9">
        <f>Z9*Assumptions!$C$18</f>
        <v>5087.0086877115109</v>
      </c>
      <c r="AA25" s="9">
        <f>AA9*Assumptions!$C$18</f>
        <v>6014.5816054437901</v>
      </c>
      <c r="AB25" s="9">
        <f>AB9*Assumptions!$C$18</f>
        <v>7108.7603077495551</v>
      </c>
      <c r="AC25" s="9">
        <f>AC9*Assumptions!$C$18</f>
        <v>8399.5445560705775</v>
      </c>
      <c r="AD25" s="9">
        <f>AD9*Assumptions!$C$18</f>
        <v>9922.3337473016036</v>
      </c>
      <c r="AE25" s="9">
        <f>AE9*Assumptions!$C$18</f>
        <v>11718.898857820064</v>
      </c>
      <c r="AF25" s="9">
        <f>AF9*Assumptions!$C$18</f>
        <v>13838.529337151722</v>
      </c>
      <c r="AG25" s="9">
        <f>AG9*Assumptions!$C$18</f>
        <v>16339.386442215357</v>
      </c>
      <c r="AH25" s="9">
        <f>AH9*Assumptions!$C$18</f>
        <v>19290.100171459155</v>
      </c>
      <c r="AI25" s="9">
        <f>AI9*Assumptions!$C$18</f>
        <v>22771.653646877487</v>
      </c>
      <c r="AJ25" s="9">
        <f>AJ9*Assumptions!$C$18</f>
        <v>26879.606684534447</v>
      </c>
      <c r="AK25" s="9">
        <f>AK9*Assumptions!$C$18</f>
        <v>31726.71960753309</v>
      </c>
      <c r="AL25" s="9">
        <f>AL9*Assumptions!$C$18</f>
        <v>37446.04934507802</v>
      </c>
      <c r="AM25" s="10">
        <f>AM9*Assumptions!$C$18</f>
        <v>44194.602829135358</v>
      </c>
      <c r="AN25" s="4"/>
    </row>
    <row r="26" spans="1:40" ht="15">
      <c r="A26" s="8" t="s">
        <v>157</v>
      </c>
      <c r="B26" s="34" t="s">
        <v>85</v>
      </c>
      <c r="C26" s="34" t="s">
        <v>158</v>
      </c>
      <c r="D26" s="9">
        <f t="shared" ref="D26:AM26" si="2">SUM(D23:D25)</f>
        <v>160.53750000000002</v>
      </c>
      <c r="E26" s="9">
        <f t="shared" si="2"/>
        <v>212.71425000000002</v>
      </c>
      <c r="F26" s="9">
        <f t="shared" si="2"/>
        <v>273.58441500000004</v>
      </c>
      <c r="G26" s="9">
        <f t="shared" si="2"/>
        <v>344.7337617</v>
      </c>
      <c r="H26" s="9">
        <f t="shared" si="2"/>
        <v>428.03286624599991</v>
      </c>
      <c r="I26" s="9">
        <f t="shared" si="2"/>
        <v>525.6883987870799</v>
      </c>
      <c r="J26" s="9">
        <f t="shared" si="2"/>
        <v>640.30363868705035</v>
      </c>
      <c r="K26" s="9">
        <f t="shared" si="2"/>
        <v>774.94988192546646</v>
      </c>
      <c r="L26" s="9">
        <f t="shared" si="2"/>
        <v>933.2507012985551</v>
      </c>
      <c r="M26" s="9">
        <f t="shared" si="2"/>
        <v>1119.4813729400046</v>
      </c>
      <c r="N26" s="9">
        <f t="shared" si="2"/>
        <v>1338.6861991146836</v>
      </c>
      <c r="O26" s="9">
        <f t="shared" si="2"/>
        <v>1596.8169486294405</v>
      </c>
      <c r="P26" s="9">
        <f t="shared" si="2"/>
        <v>1900.8962160466303</v>
      </c>
      <c r="Q26" s="9">
        <f t="shared" si="2"/>
        <v>2259.2101850989975</v>
      </c>
      <c r="R26" s="9">
        <f t="shared" si="2"/>
        <v>2681.5360890758711</v>
      </c>
      <c r="S26" s="9">
        <f t="shared" si="2"/>
        <v>3179.4106136488108</v>
      </c>
      <c r="T26" s="9">
        <f t="shared" si="2"/>
        <v>3766.4466117887014</v>
      </c>
      <c r="U26" s="9">
        <f t="shared" si="2"/>
        <v>4458.7068269632782</v>
      </c>
      <c r="V26" s="9">
        <f t="shared" si="2"/>
        <v>5275.1448861177023</v>
      </c>
      <c r="W26" s="9">
        <f t="shared" si="2"/>
        <v>6238.1256710108901</v>
      </c>
      <c r="X26" s="9">
        <f t="shared" si="2"/>
        <v>7374.0393560230932</v>
      </c>
      <c r="Y26" s="9">
        <f t="shared" si="2"/>
        <v>8714.0259724105817</v>
      </c>
      <c r="Z26" s="9">
        <f t="shared" si="2"/>
        <v>10294.83039377872</v>
      </c>
      <c r="AA26" s="9">
        <f t="shared" si="2"/>
        <v>12159.811218603099</v>
      </c>
      <c r="AB26" s="9">
        <f t="shared" si="2"/>
        <v>14360.131251277538</v>
      </c>
      <c r="AC26" s="9">
        <f t="shared" si="2"/>
        <v>16956.162269433597</v>
      </c>
      <c r="AD26" s="9">
        <f t="shared" si="2"/>
        <v>20019.142649069967</v>
      </c>
      <c r="AE26" s="9">
        <f t="shared" si="2"/>
        <v>23633.13336190673</v>
      </c>
      <c r="AF26" s="9">
        <f t="shared" si="2"/>
        <v>27897.326051973992</v>
      </c>
      <c r="AG26" s="9">
        <f t="shared" si="2"/>
        <v>32928.766565705635</v>
      </c>
      <c r="AH26" s="9">
        <f t="shared" si="2"/>
        <v>38865.568717177681</v>
      </c>
      <c r="AI26" s="9">
        <f t="shared" si="2"/>
        <v>45870.706530825344</v>
      </c>
      <c r="AJ26" s="9">
        <f t="shared" si="2"/>
        <v>54136.48908759292</v>
      </c>
      <c r="AK26" s="9">
        <f t="shared" si="2"/>
        <v>63889.840843142083</v>
      </c>
      <c r="AL26" s="9">
        <f t="shared" si="2"/>
        <v>75398.532403096629</v>
      </c>
      <c r="AM26" s="10">
        <f t="shared" si="2"/>
        <v>88978.532837597304</v>
      </c>
      <c r="AN26" s="4"/>
    </row>
    <row r="27" spans="1:40" ht="15">
      <c r="A27" s="8"/>
      <c r="B27" s="34"/>
      <c r="C27" s="34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10"/>
      <c r="AN27" s="4"/>
    </row>
    <row r="28" spans="1:40" ht="15">
      <c r="A28" s="50" t="s">
        <v>159</v>
      </c>
      <c r="B28" s="51"/>
      <c r="C28" s="51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6"/>
      <c r="AN28" s="4"/>
    </row>
    <row r="29" spans="1:40" ht="15">
      <c r="A29" s="8" t="s">
        <v>160</v>
      </c>
      <c r="B29" s="34" t="s">
        <v>85</v>
      </c>
      <c r="C29" s="34" t="s">
        <v>161</v>
      </c>
      <c r="D29" s="9">
        <f t="shared" ref="D29:AM29" si="3">D20-D26</f>
        <v>1811.9625000000001</v>
      </c>
      <c r="E29" s="9">
        <f t="shared" si="3"/>
        <v>2114.8357500000002</v>
      </c>
      <c r="F29" s="9">
        <f t="shared" si="3"/>
        <v>2472.9245849999998</v>
      </c>
      <c r="G29" s="9">
        <f t="shared" si="3"/>
        <v>2896.1468583000001</v>
      </c>
      <c r="H29" s="9">
        <f t="shared" si="3"/>
        <v>3396.2062653539988</v>
      </c>
      <c r="I29" s="9">
        <f t="shared" si="3"/>
        <v>3986.91377650092</v>
      </c>
      <c r="J29" s="9">
        <f t="shared" si="3"/>
        <v>4684.566928152788</v>
      </c>
      <c r="K29" s="9">
        <f t="shared" si="3"/>
        <v>5508.3973869455422</v>
      </c>
      <c r="L29" s="9">
        <f t="shared" si="3"/>
        <v>6481.0990759692349</v>
      </c>
      <c r="M29" s="9">
        <f t="shared" si="3"/>
        <v>7629.4513642359889</v>
      </c>
      <c r="N29" s="9">
        <f t="shared" si="3"/>
        <v>8985.054430752989</v>
      </c>
      <c r="O29" s="9">
        <f t="shared" si="3"/>
        <v>10585.196994614411</v>
      </c>
      <c r="P29" s="9">
        <f t="shared" si="3"/>
        <v>12473.880236981115</v>
      </c>
      <c r="Q29" s="9">
        <f t="shared" si="3"/>
        <v>14703.026029473742</v>
      </c>
      <c r="R29" s="9">
        <f t="shared" si="3"/>
        <v>17333.90264411996</v>
      </c>
      <c r="S29" s="9">
        <f t="shared" si="3"/>
        <v>20438.807091522267</v>
      </c>
      <c r="T29" s="9">
        <f t="shared" si="3"/>
        <v>24103.050280313171</v>
      </c>
      <c r="U29" s="9">
        <f t="shared" si="3"/>
        <v>28427.299505716932</v>
      </c>
      <c r="V29" s="9">
        <f t="shared" si="3"/>
        <v>33530.342586444938</v>
      </c>
      <c r="W29" s="9">
        <f t="shared" si="3"/>
        <v>39552.349546613026</v>
      </c>
      <c r="X29" s="9">
        <f t="shared" si="3"/>
        <v>46658.721400773124</v>
      </c>
      <c r="Y29" s="9">
        <f t="shared" si="3"/>
        <v>55044.631720608959</v>
      </c>
      <c r="Z29" s="9">
        <f t="shared" si="3"/>
        <v>64940.385683984328</v>
      </c>
      <c r="AA29" s="9">
        <f t="shared" si="3"/>
        <v>76617.743753157294</v>
      </c>
      <c r="AB29" s="9">
        <f t="shared" si="3"/>
        <v>90397.38361539974</v>
      </c>
      <c r="AC29" s="9">
        <f t="shared" si="3"/>
        <v>106657.70527324558</v>
      </c>
      <c r="AD29" s="9">
        <f t="shared" si="3"/>
        <v>125845.22105129143</v>
      </c>
      <c r="AE29" s="9">
        <f t="shared" si="3"/>
        <v>148486.81580451975</v>
      </c>
      <c r="AF29" s="9">
        <f t="shared" si="3"/>
        <v>175204.21396440922</v>
      </c>
      <c r="AG29" s="9">
        <f t="shared" si="3"/>
        <v>206731.05065362656</v>
      </c>
      <c r="AH29" s="9">
        <f t="shared" si="3"/>
        <v>243933.01560163428</v>
      </c>
      <c r="AI29" s="9">
        <f t="shared" si="3"/>
        <v>287831.62296537281</v>
      </c>
      <c r="AJ29" s="9">
        <f t="shared" si="3"/>
        <v>339632.2597179208</v>
      </c>
      <c r="AK29" s="9">
        <f t="shared" si="3"/>
        <v>400757.28274736408</v>
      </c>
      <c r="AL29" s="9">
        <f t="shared" si="3"/>
        <v>472885.07343370066</v>
      </c>
      <c r="AM29" s="10">
        <f t="shared" si="3"/>
        <v>557996.1220498234</v>
      </c>
      <c r="AN29" s="4"/>
    </row>
    <row r="30" spans="1:40" ht="15">
      <c r="A30" s="8" t="s">
        <v>13</v>
      </c>
      <c r="B30" s="34" t="s">
        <v>42</v>
      </c>
      <c r="C30" s="34" t="s">
        <v>162</v>
      </c>
      <c r="D30" s="39">
        <f t="shared" ref="D30:AM30" si="4">IFERROR(D29/D20,0)</f>
        <v>0.91861216730038031</v>
      </c>
      <c r="E30" s="39">
        <f t="shared" si="4"/>
        <v>0.90861023393697238</v>
      </c>
      <c r="F30" s="39">
        <f t="shared" si="4"/>
        <v>0.90038830566366235</v>
      </c>
      <c r="G30" s="39">
        <f t="shared" si="4"/>
        <v>0.89362960191356888</v>
      </c>
      <c r="H30" s="39">
        <f t="shared" si="4"/>
        <v>0.88807371832239002</v>
      </c>
      <c r="I30" s="39">
        <f t="shared" si="4"/>
        <v>0.88350659367540418</v>
      </c>
      <c r="J30" s="39">
        <f t="shared" si="4"/>
        <v>0.87975226239779702</v>
      </c>
      <c r="K30" s="39">
        <f t="shared" si="4"/>
        <v>0.87666607482213699</v>
      </c>
      <c r="L30" s="39">
        <f t="shared" si="4"/>
        <v>0.87412912401841647</v>
      </c>
      <c r="M30" s="39">
        <f t="shared" si="4"/>
        <v>0.87204366445942594</v>
      </c>
      <c r="N30" s="39">
        <f t="shared" si="4"/>
        <v>0.87032934600839129</v>
      </c>
      <c r="O30" s="39">
        <f t="shared" si="4"/>
        <v>0.86892011812915093</v>
      </c>
      <c r="P30" s="39">
        <f t="shared" si="4"/>
        <v>0.8677616850419787</v>
      </c>
      <c r="Q30" s="39">
        <f t="shared" si="4"/>
        <v>0.8668094137754051</v>
      </c>
      <c r="R30" s="39">
        <f t="shared" si="4"/>
        <v>0.86602661451389951</v>
      </c>
      <c r="S30" s="39">
        <f t="shared" si="4"/>
        <v>0.86538312698537379</v>
      </c>
      <c r="T30" s="39">
        <f t="shared" si="4"/>
        <v>0.8648541584237891</v>
      </c>
      <c r="U30" s="39">
        <f t="shared" si="4"/>
        <v>0.86441932833502877</v>
      </c>
      <c r="V30" s="39">
        <f t="shared" si="4"/>
        <v>0.86406188326206479</v>
      </c>
      <c r="W30" s="39">
        <f t="shared" si="4"/>
        <v>0.86376805129530621</v>
      </c>
      <c r="X30" s="39">
        <f t="shared" si="4"/>
        <v>0.86352651145822512</v>
      </c>
      <c r="Y30" s="39">
        <f t="shared" si="4"/>
        <v>0.86332795752435332</v>
      </c>
      <c r="Z30" s="39">
        <f t="shared" si="4"/>
        <v>0.86316473946006889</v>
      </c>
      <c r="AA30" s="39">
        <f t="shared" si="4"/>
        <v>0.86303056867841121</v>
      </c>
      <c r="AB30" s="39">
        <f t="shared" si="4"/>
        <v>0.86292027574772678</v>
      </c>
      <c r="AC30" s="39">
        <f t="shared" si="4"/>
        <v>0.8628296112199606</v>
      </c>
      <c r="AD30" s="39">
        <f t="shared" si="4"/>
        <v>0.86275508190476291</v>
      </c>
      <c r="AE30" s="39">
        <f t="shared" si="4"/>
        <v>0.86269381628125319</v>
      </c>
      <c r="AF30" s="39">
        <f t="shared" si="4"/>
        <v>0.86264345386192709</v>
      </c>
      <c r="AG30" s="39">
        <f t="shared" si="4"/>
        <v>0.86260205424604064</v>
      </c>
      <c r="AH30" s="39">
        <f t="shared" si="4"/>
        <v>0.86256802235840502</v>
      </c>
      <c r="AI30" s="39">
        <f t="shared" si="4"/>
        <v>0.86254004699314524</v>
      </c>
      <c r="AJ30" s="39">
        <f t="shared" si="4"/>
        <v>0.86251705029458425</v>
      </c>
      <c r="AK30" s="39">
        <f t="shared" si="4"/>
        <v>0.86249814622881804</v>
      </c>
      <c r="AL30" s="39">
        <f t="shared" si="4"/>
        <v>0.86248260644594243</v>
      </c>
      <c r="AM30" s="40">
        <f t="shared" si="4"/>
        <v>0.86246983221764639</v>
      </c>
      <c r="AN30" s="4"/>
    </row>
    <row r="31" spans="1:40" ht="15">
      <c r="A31" s="8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8"/>
      <c r="AN31" s="4"/>
    </row>
    <row r="32" spans="1:40" ht="15">
      <c r="A32" s="50" t="s">
        <v>163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2"/>
      <c r="AN32" s="4"/>
    </row>
    <row r="33" spans="1:40" ht="27">
      <c r="A33" s="8" t="s">
        <v>164</v>
      </c>
      <c r="B33" s="34" t="s">
        <v>85</v>
      </c>
      <c r="C33" s="34" t="s">
        <v>165</v>
      </c>
      <c r="D33" s="9">
        <f>Assumptions!$C$19</f>
        <v>3500</v>
      </c>
      <c r="E33" s="9">
        <f>D33*(1+Assumptions!$C$20)</f>
        <v>3605</v>
      </c>
      <c r="F33" s="9">
        <f>E33*(1+Assumptions!$C$20)</f>
        <v>3713.15</v>
      </c>
      <c r="G33" s="9">
        <f>F33*(1+Assumptions!$C$20)</f>
        <v>3824.5445</v>
      </c>
      <c r="H33" s="9">
        <f>G33*(1+Assumptions!$C$20)</f>
        <v>3939.280835</v>
      </c>
      <c r="I33" s="9">
        <f>H33*(1+Assumptions!$C$20)</f>
        <v>4057.45926005</v>
      </c>
      <c r="J33" s="9">
        <f>I33*(1+Assumptions!$C$20)</f>
        <v>4179.1830378515006</v>
      </c>
      <c r="K33" s="9">
        <f>J33*(1+Assumptions!$C$20)</f>
        <v>4304.558528987046</v>
      </c>
      <c r="L33" s="9">
        <f>K33*(1+Assumptions!$C$20)</f>
        <v>4433.6952848566571</v>
      </c>
      <c r="M33" s="9">
        <f>L33*(1+Assumptions!$C$20)</f>
        <v>4566.7061434023572</v>
      </c>
      <c r="N33" s="9">
        <f>M33*(1+Assumptions!$C$20)</f>
        <v>4703.7073277044283</v>
      </c>
      <c r="O33" s="9">
        <f>N33*(1+Assumptions!$C$20)</f>
        <v>4844.8185475355613</v>
      </c>
      <c r="P33" s="9">
        <f>O33*(1+Assumptions!$C$20)</f>
        <v>4990.1631039616286</v>
      </c>
      <c r="Q33" s="9">
        <f>P33*(1+Assumptions!$C$20)</f>
        <v>5139.8679970804778</v>
      </c>
      <c r="R33" s="9">
        <f>Q33*(1+Assumptions!$C$20)</f>
        <v>5294.0640369928924</v>
      </c>
      <c r="S33" s="9">
        <f>R33*(1+Assumptions!$C$20)</f>
        <v>5452.8859581026791</v>
      </c>
      <c r="T33" s="9">
        <f>S33*(1+Assumptions!$C$20)</f>
        <v>5616.4725368457594</v>
      </c>
      <c r="U33" s="9">
        <f>T33*(1+Assumptions!$C$20)</f>
        <v>5784.9667129511326</v>
      </c>
      <c r="V33" s="9">
        <f>U33*(1+Assumptions!$C$20)</f>
        <v>5958.5157143396664</v>
      </c>
      <c r="W33" s="9">
        <f>V33*(1+Assumptions!$C$20)</f>
        <v>6137.2711857698569</v>
      </c>
      <c r="X33" s="9">
        <f>W33*(1+Assumptions!$C$20)</f>
        <v>6321.3893213429528</v>
      </c>
      <c r="Y33" s="9">
        <f>X33*(1+Assumptions!$C$20)</f>
        <v>6511.0310009832419</v>
      </c>
      <c r="Z33" s="9">
        <f>Y33*(1+Assumptions!$C$20)</f>
        <v>6706.3619310127397</v>
      </c>
      <c r="AA33" s="9">
        <f>Z33*(1+Assumptions!$C$20)</f>
        <v>6907.5527889431223</v>
      </c>
      <c r="AB33" s="9">
        <f>AA33*(1+Assumptions!$C$20)</f>
        <v>7114.779372611416</v>
      </c>
      <c r="AC33" s="9">
        <f>AB33*(1+Assumptions!$C$20)</f>
        <v>7328.2227537897588</v>
      </c>
      <c r="AD33" s="9">
        <f>AC33*(1+Assumptions!$C$20)</f>
        <v>7548.0694364034516</v>
      </c>
      <c r="AE33" s="9">
        <f>AD33*(1+Assumptions!$C$20)</f>
        <v>7774.5115194955551</v>
      </c>
      <c r="AF33" s="9">
        <f>AE33*(1+Assumptions!$C$20)</f>
        <v>8007.7468650804221</v>
      </c>
      <c r="AG33" s="9">
        <f>AF33*(1+Assumptions!$C$20)</f>
        <v>8247.9792710328347</v>
      </c>
      <c r="AH33" s="9">
        <f>AG33*(1+Assumptions!$C$20)</f>
        <v>8495.4186491638193</v>
      </c>
      <c r="AI33" s="9">
        <f>AH33*(1+Assumptions!$C$20)</f>
        <v>8750.2812086387348</v>
      </c>
      <c r="AJ33" s="9">
        <f>AI33*(1+Assumptions!$C$20)</f>
        <v>9012.7896448978972</v>
      </c>
      <c r="AK33" s="9">
        <f>AJ33*(1+Assumptions!$C$20)</f>
        <v>9283.1733342448351</v>
      </c>
      <c r="AL33" s="9">
        <f>AK33*(1+Assumptions!$C$20)</f>
        <v>9561.6685342721812</v>
      </c>
      <c r="AM33" s="10">
        <f>AL33*(1+Assumptions!$C$20)</f>
        <v>9848.5185903003476</v>
      </c>
      <c r="AN33" s="4"/>
    </row>
    <row r="34" spans="1:40" ht="15">
      <c r="A34" s="8" t="s">
        <v>166</v>
      </c>
      <c r="B34" s="34" t="s">
        <v>85</v>
      </c>
      <c r="C34" s="34" t="s">
        <v>167</v>
      </c>
      <c r="D34" s="9">
        <f>D7*Assumptions!$C$14</f>
        <v>540</v>
      </c>
      <c r="E34" s="9">
        <f>E7*Assumptions!$C$14</f>
        <v>637.19999999999993</v>
      </c>
      <c r="F34" s="9">
        <f>F7*Assumptions!$C$14</f>
        <v>751.89599999999996</v>
      </c>
      <c r="G34" s="9">
        <f>G7*Assumptions!$C$14</f>
        <v>887.23727999999994</v>
      </c>
      <c r="H34" s="9">
        <f>H7*Assumptions!$C$14</f>
        <v>1046.9399903999999</v>
      </c>
      <c r="I34" s="9">
        <f>I7*Assumptions!$C$14</f>
        <v>1235.3891886719998</v>
      </c>
      <c r="J34" s="9">
        <f>J7*Assumptions!$C$14</f>
        <v>1457.7592426329597</v>
      </c>
      <c r="K34" s="9">
        <f>K7*Assumptions!$C$14</f>
        <v>1720.1559063068923</v>
      </c>
      <c r="L34" s="9">
        <f>L7*Assumptions!$C$14</f>
        <v>2029.7839694421327</v>
      </c>
      <c r="M34" s="9">
        <f>M7*Assumptions!$C$14</f>
        <v>2395.1450839417166</v>
      </c>
      <c r="N34" s="9">
        <f>N7*Assumptions!$C$14</f>
        <v>2826.2711990512257</v>
      </c>
      <c r="O34" s="9">
        <f>O7*Assumptions!$C$14</f>
        <v>3335.0000148804461</v>
      </c>
      <c r="P34" s="9">
        <f>P7*Assumptions!$C$14</f>
        <v>3935.3000175589259</v>
      </c>
      <c r="Q34" s="9">
        <f>Q7*Assumptions!$C$14</f>
        <v>4643.654020719533</v>
      </c>
      <c r="R34" s="9">
        <f>R7*Assumptions!$C$14</f>
        <v>5479.5117444490488</v>
      </c>
      <c r="S34" s="9">
        <f>S7*Assumptions!$C$14</f>
        <v>6465.8238584498777</v>
      </c>
      <c r="T34" s="9">
        <f>T7*Assumptions!$C$14</f>
        <v>7629.6721529708548</v>
      </c>
      <c r="U34" s="9">
        <f>U7*Assumptions!$C$14</f>
        <v>9003.013140505609</v>
      </c>
      <c r="V34" s="9">
        <f>V7*Assumptions!$C$14</f>
        <v>10623.555505796618</v>
      </c>
      <c r="W34" s="9">
        <f>W7*Assumptions!$C$14</f>
        <v>12535.795496840008</v>
      </c>
      <c r="X34" s="9">
        <f>X7*Assumptions!$C$14</f>
        <v>14792.238686271208</v>
      </c>
      <c r="Y34" s="9">
        <f>Y7*Assumptions!$C$14</f>
        <v>17454.841649800026</v>
      </c>
      <c r="Z34" s="9">
        <f>Z7*Assumptions!$C$14</f>
        <v>20596.713146764028</v>
      </c>
      <c r="AA34" s="9">
        <f>AA7*Assumptions!$C$14</f>
        <v>24304.121513181552</v>
      </c>
      <c r="AB34" s="9">
        <f>AB7*Assumptions!$C$14</f>
        <v>28678.863385554232</v>
      </c>
      <c r="AC34" s="9">
        <f>AC7*Assumptions!$C$14</f>
        <v>33841.058794953991</v>
      </c>
      <c r="AD34" s="9">
        <f>AD7*Assumptions!$C$14</f>
        <v>39932.449378045712</v>
      </c>
      <c r="AE34" s="9">
        <f>AE7*Assumptions!$C$14</f>
        <v>47120.290266093936</v>
      </c>
      <c r="AF34" s="9">
        <f>AF7*Assumptions!$C$14</f>
        <v>55601.942513990842</v>
      </c>
      <c r="AG34" s="9">
        <f>AG7*Assumptions!$C$14</f>
        <v>65610.2921665092</v>
      </c>
      <c r="AH34" s="9">
        <f>AH7*Assumptions!$C$14</f>
        <v>77420.144756480848</v>
      </c>
      <c r="AI34" s="9">
        <f>AI7*Assumptions!$C$14</f>
        <v>91355.770812647388</v>
      </c>
      <c r="AJ34" s="9">
        <f>AJ7*Assumptions!$C$14</f>
        <v>107799.80955892392</v>
      </c>
      <c r="AK34" s="9">
        <f>AK7*Assumptions!$C$14</f>
        <v>127203.77527953022</v>
      </c>
      <c r="AL34" s="9">
        <f>AL7*Assumptions!$C$14</f>
        <v>150100.45482984564</v>
      </c>
      <c r="AM34" s="10">
        <f>AM7*Assumptions!$C$14</f>
        <v>177118.53669921783</v>
      </c>
      <c r="AN34" s="4"/>
    </row>
    <row r="35" spans="1:40" ht="27">
      <c r="A35" s="8" t="s">
        <v>168</v>
      </c>
      <c r="B35" s="34" t="s">
        <v>85</v>
      </c>
      <c r="C35" s="34" t="s">
        <v>169</v>
      </c>
      <c r="D35" s="9">
        <f>Assumptions!$C$22</f>
        <v>600</v>
      </c>
      <c r="E35" s="9">
        <f>Assumptions!$C$22</f>
        <v>600</v>
      </c>
      <c r="F35" s="9">
        <f>Assumptions!$C$22</f>
        <v>600</v>
      </c>
      <c r="G35" s="9">
        <f>Assumptions!$C$22</f>
        <v>600</v>
      </c>
      <c r="H35" s="9">
        <f>Assumptions!$C$22</f>
        <v>600</v>
      </c>
      <c r="I35" s="9">
        <f>Assumptions!$C$22</f>
        <v>600</v>
      </c>
      <c r="J35" s="9">
        <f>Assumptions!$C$22</f>
        <v>600</v>
      </c>
      <c r="K35" s="9">
        <f>Assumptions!$C$22</f>
        <v>600</v>
      </c>
      <c r="L35" s="9">
        <f>Assumptions!$C$22</f>
        <v>600</v>
      </c>
      <c r="M35" s="9">
        <f>Assumptions!$C$22</f>
        <v>600</v>
      </c>
      <c r="N35" s="9">
        <f>Assumptions!$C$22</f>
        <v>600</v>
      </c>
      <c r="O35" s="9">
        <f>Assumptions!$C$22</f>
        <v>600</v>
      </c>
      <c r="P35" s="9">
        <f>Assumptions!$C$22</f>
        <v>600</v>
      </c>
      <c r="Q35" s="9">
        <f>Assumptions!$C$22</f>
        <v>600</v>
      </c>
      <c r="R35" s="9">
        <f>Assumptions!$C$22</f>
        <v>600</v>
      </c>
      <c r="S35" s="9">
        <f>Assumptions!$C$22</f>
        <v>600</v>
      </c>
      <c r="T35" s="9">
        <f>Assumptions!$C$22</f>
        <v>600</v>
      </c>
      <c r="U35" s="9">
        <f>Assumptions!$C$22</f>
        <v>600</v>
      </c>
      <c r="V35" s="9">
        <f>Assumptions!$C$22</f>
        <v>600</v>
      </c>
      <c r="W35" s="9">
        <f>Assumptions!$C$22</f>
        <v>600</v>
      </c>
      <c r="X35" s="9">
        <f>Assumptions!$C$22</f>
        <v>600</v>
      </c>
      <c r="Y35" s="9">
        <f>Assumptions!$C$22</f>
        <v>600</v>
      </c>
      <c r="Z35" s="9">
        <f>Assumptions!$C$22</f>
        <v>600</v>
      </c>
      <c r="AA35" s="9">
        <f>Assumptions!$C$22</f>
        <v>600</v>
      </c>
      <c r="AB35" s="9">
        <f>Assumptions!$C$22</f>
        <v>600</v>
      </c>
      <c r="AC35" s="9">
        <f>Assumptions!$C$22</f>
        <v>600</v>
      </c>
      <c r="AD35" s="9">
        <f>Assumptions!$C$22</f>
        <v>600</v>
      </c>
      <c r="AE35" s="9">
        <f>Assumptions!$C$22</f>
        <v>600</v>
      </c>
      <c r="AF35" s="9">
        <f>Assumptions!$C$22</f>
        <v>600</v>
      </c>
      <c r="AG35" s="9">
        <f>Assumptions!$C$22</f>
        <v>600</v>
      </c>
      <c r="AH35" s="9">
        <f>Assumptions!$C$22</f>
        <v>600</v>
      </c>
      <c r="AI35" s="9">
        <f>Assumptions!$C$22</f>
        <v>600</v>
      </c>
      <c r="AJ35" s="9">
        <f>Assumptions!$C$22</f>
        <v>600</v>
      </c>
      <c r="AK35" s="9">
        <f>Assumptions!$C$22</f>
        <v>600</v>
      </c>
      <c r="AL35" s="9">
        <f>Assumptions!$C$22</f>
        <v>600</v>
      </c>
      <c r="AM35" s="10">
        <f>Assumptions!$C$22</f>
        <v>600</v>
      </c>
      <c r="AN35" s="4"/>
    </row>
    <row r="36" spans="1:40" ht="15">
      <c r="A36" s="8" t="s">
        <v>170</v>
      </c>
      <c r="B36" s="34" t="s">
        <v>85</v>
      </c>
      <c r="C36" s="34" t="s">
        <v>79</v>
      </c>
      <c r="D36" s="9">
        <f>Assumptions!$C$21</f>
        <v>700</v>
      </c>
      <c r="E36" s="9">
        <f>Assumptions!$C$21</f>
        <v>700</v>
      </c>
      <c r="F36" s="9">
        <f>Assumptions!$C$21</f>
        <v>700</v>
      </c>
      <c r="G36" s="9">
        <f>Assumptions!$C$21</f>
        <v>700</v>
      </c>
      <c r="H36" s="9">
        <f>Assumptions!$C$21</f>
        <v>700</v>
      </c>
      <c r="I36" s="9">
        <f>Assumptions!$C$21</f>
        <v>700</v>
      </c>
      <c r="J36" s="9">
        <f>Assumptions!$C$21</f>
        <v>700</v>
      </c>
      <c r="K36" s="9">
        <f>Assumptions!$C$21</f>
        <v>700</v>
      </c>
      <c r="L36" s="9">
        <f>Assumptions!$C$21</f>
        <v>700</v>
      </c>
      <c r="M36" s="9">
        <f>Assumptions!$C$21</f>
        <v>700</v>
      </c>
      <c r="N36" s="9">
        <f>Assumptions!$C$21</f>
        <v>700</v>
      </c>
      <c r="O36" s="9">
        <f>Assumptions!$C$21</f>
        <v>700</v>
      </c>
      <c r="P36" s="9">
        <f>Assumptions!$C$21</f>
        <v>700</v>
      </c>
      <c r="Q36" s="9">
        <f>Assumptions!$C$21</f>
        <v>700</v>
      </c>
      <c r="R36" s="9">
        <f>Assumptions!$C$21</f>
        <v>700</v>
      </c>
      <c r="S36" s="9">
        <f>Assumptions!$C$21</f>
        <v>700</v>
      </c>
      <c r="T36" s="9">
        <f>Assumptions!$C$21</f>
        <v>700</v>
      </c>
      <c r="U36" s="9">
        <f>Assumptions!$C$21</f>
        <v>700</v>
      </c>
      <c r="V36" s="9">
        <f>Assumptions!$C$21</f>
        <v>700</v>
      </c>
      <c r="W36" s="9">
        <f>Assumptions!$C$21</f>
        <v>700</v>
      </c>
      <c r="X36" s="9">
        <f>Assumptions!$C$21</f>
        <v>700</v>
      </c>
      <c r="Y36" s="9">
        <f>Assumptions!$C$21</f>
        <v>700</v>
      </c>
      <c r="Z36" s="9">
        <f>Assumptions!$C$21</f>
        <v>700</v>
      </c>
      <c r="AA36" s="9">
        <f>Assumptions!$C$21</f>
        <v>700</v>
      </c>
      <c r="AB36" s="9">
        <f>Assumptions!$C$21</f>
        <v>700</v>
      </c>
      <c r="AC36" s="9">
        <f>Assumptions!$C$21</f>
        <v>700</v>
      </c>
      <c r="AD36" s="9">
        <f>Assumptions!$C$21</f>
        <v>700</v>
      </c>
      <c r="AE36" s="9">
        <f>Assumptions!$C$21</f>
        <v>700</v>
      </c>
      <c r="AF36" s="9">
        <f>Assumptions!$C$21</f>
        <v>700</v>
      </c>
      <c r="AG36" s="9">
        <f>Assumptions!$C$21</f>
        <v>700</v>
      </c>
      <c r="AH36" s="9">
        <f>Assumptions!$C$21</f>
        <v>700</v>
      </c>
      <c r="AI36" s="9">
        <f>Assumptions!$C$21</f>
        <v>700</v>
      </c>
      <c r="AJ36" s="9">
        <f>Assumptions!$C$21</f>
        <v>700</v>
      </c>
      <c r="AK36" s="9">
        <f>Assumptions!$C$21</f>
        <v>700</v>
      </c>
      <c r="AL36" s="9">
        <f>Assumptions!$C$21</f>
        <v>700</v>
      </c>
      <c r="AM36" s="10">
        <f>Assumptions!$C$21</f>
        <v>700</v>
      </c>
      <c r="AN36" s="4"/>
    </row>
    <row r="37" spans="1:40" ht="15">
      <c r="A37" s="8" t="s">
        <v>171</v>
      </c>
      <c r="B37" s="34" t="s">
        <v>85</v>
      </c>
      <c r="C37" s="34" t="s">
        <v>172</v>
      </c>
      <c r="D37" s="9">
        <f t="shared" ref="D37:AM37" si="5">SUM(D33:D36)</f>
        <v>5340</v>
      </c>
      <c r="E37" s="9">
        <f t="shared" si="5"/>
        <v>5542.2</v>
      </c>
      <c r="F37" s="9">
        <f t="shared" si="5"/>
        <v>5765.0460000000003</v>
      </c>
      <c r="G37" s="9">
        <f t="shared" si="5"/>
        <v>6011.7817800000003</v>
      </c>
      <c r="H37" s="9">
        <f t="shared" si="5"/>
        <v>6286.2208253999997</v>
      </c>
      <c r="I37" s="9">
        <f t="shared" si="5"/>
        <v>6592.8484487219994</v>
      </c>
      <c r="J37" s="9">
        <f t="shared" si="5"/>
        <v>6936.9422804844598</v>
      </c>
      <c r="K37" s="9">
        <f t="shared" si="5"/>
        <v>7324.7144352939385</v>
      </c>
      <c r="L37" s="9">
        <f t="shared" si="5"/>
        <v>7763.4792542987898</v>
      </c>
      <c r="M37" s="9">
        <f t="shared" si="5"/>
        <v>8261.8512273440738</v>
      </c>
      <c r="N37" s="9">
        <f t="shared" si="5"/>
        <v>8829.9785267556545</v>
      </c>
      <c r="O37" s="9">
        <f t="shared" si="5"/>
        <v>9479.8185624160069</v>
      </c>
      <c r="P37" s="9">
        <f t="shared" si="5"/>
        <v>10225.463121520555</v>
      </c>
      <c r="Q37" s="9">
        <f t="shared" si="5"/>
        <v>11083.522017800011</v>
      </c>
      <c r="R37" s="9">
        <f t="shared" si="5"/>
        <v>12073.575781441941</v>
      </c>
      <c r="S37" s="9">
        <f t="shared" si="5"/>
        <v>13218.709816552557</v>
      </c>
      <c r="T37" s="9">
        <f t="shared" si="5"/>
        <v>14546.144689816614</v>
      </c>
      <c r="U37" s="9">
        <f t="shared" si="5"/>
        <v>16087.979853456742</v>
      </c>
      <c r="V37" s="9">
        <f t="shared" si="5"/>
        <v>17882.071220136284</v>
      </c>
      <c r="W37" s="9">
        <f t="shared" si="5"/>
        <v>19973.066682609864</v>
      </c>
      <c r="X37" s="9">
        <f t="shared" si="5"/>
        <v>22413.628007614163</v>
      </c>
      <c r="Y37" s="9">
        <f t="shared" si="5"/>
        <v>25265.872650783269</v>
      </c>
      <c r="Z37" s="9">
        <f t="shared" si="5"/>
        <v>28603.075077776768</v>
      </c>
      <c r="AA37" s="9">
        <f t="shared" si="5"/>
        <v>32511.674302124673</v>
      </c>
      <c r="AB37" s="9">
        <f t="shared" si="5"/>
        <v>37093.642758165646</v>
      </c>
      <c r="AC37" s="9">
        <f t="shared" si="5"/>
        <v>42469.281548743747</v>
      </c>
      <c r="AD37" s="9">
        <f t="shared" si="5"/>
        <v>48780.518814449162</v>
      </c>
      <c r="AE37" s="9">
        <f t="shared" si="5"/>
        <v>56194.801785589494</v>
      </c>
      <c r="AF37" s="9">
        <f t="shared" si="5"/>
        <v>64909.689379071264</v>
      </c>
      <c r="AG37" s="9">
        <f t="shared" si="5"/>
        <v>75158.271437542033</v>
      </c>
      <c r="AH37" s="9">
        <f t="shared" si="5"/>
        <v>87215.563405644672</v>
      </c>
      <c r="AI37" s="9">
        <f t="shared" si="5"/>
        <v>101406.05202128613</v>
      </c>
      <c r="AJ37" s="9">
        <f t="shared" si="5"/>
        <v>118112.59920382182</v>
      </c>
      <c r="AK37" s="9">
        <f t="shared" si="5"/>
        <v>137786.94861377505</v>
      </c>
      <c r="AL37" s="9">
        <f t="shared" si="5"/>
        <v>160962.12336411781</v>
      </c>
      <c r="AM37" s="10">
        <f t="shared" si="5"/>
        <v>188267.05528951818</v>
      </c>
      <c r="AN37" s="4"/>
    </row>
    <row r="38" spans="1:40" ht="15">
      <c r="A38" s="8"/>
      <c r="B38" s="34"/>
      <c r="C38" s="34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10"/>
      <c r="AN38" s="4"/>
    </row>
    <row r="39" spans="1:40" ht="15">
      <c r="A39" s="50" t="s">
        <v>173</v>
      </c>
      <c r="B39" s="51"/>
      <c r="C39" s="51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6"/>
      <c r="AN39" s="4"/>
    </row>
    <row r="40" spans="1:40" ht="15">
      <c r="A40" s="8" t="s">
        <v>10</v>
      </c>
      <c r="B40" s="34" t="s">
        <v>85</v>
      </c>
      <c r="C40" s="34" t="s">
        <v>174</v>
      </c>
      <c r="D40" s="9">
        <f t="shared" ref="D40:AM40" si="6">D29-D37</f>
        <v>-3528.0374999999999</v>
      </c>
      <c r="E40" s="9">
        <f t="shared" si="6"/>
        <v>-3427.3642499999996</v>
      </c>
      <c r="F40" s="9">
        <f t="shared" si="6"/>
        <v>-3292.1214150000005</v>
      </c>
      <c r="G40" s="9">
        <f t="shared" si="6"/>
        <v>-3115.6349217000002</v>
      </c>
      <c r="H40" s="9">
        <f t="shared" si="6"/>
        <v>-2890.014560046001</v>
      </c>
      <c r="I40" s="9">
        <f t="shared" si="6"/>
        <v>-2605.9346722210794</v>
      </c>
      <c r="J40" s="9">
        <f t="shared" si="6"/>
        <v>-2252.3753523316718</v>
      </c>
      <c r="K40" s="9">
        <f t="shared" si="6"/>
        <v>-1816.3170483483964</v>
      </c>
      <c r="L40" s="9">
        <f t="shared" si="6"/>
        <v>-1282.3801783295548</v>
      </c>
      <c r="M40" s="9">
        <f t="shared" si="6"/>
        <v>-632.3998631080849</v>
      </c>
      <c r="N40" s="9">
        <f t="shared" si="6"/>
        <v>155.07590399733454</v>
      </c>
      <c r="O40" s="9">
        <f t="shared" si="6"/>
        <v>1105.378432198404</v>
      </c>
      <c r="P40" s="9">
        <f t="shared" si="6"/>
        <v>2248.4171154605592</v>
      </c>
      <c r="Q40" s="9">
        <f t="shared" si="6"/>
        <v>3619.5040116737309</v>
      </c>
      <c r="R40" s="9">
        <f t="shared" si="6"/>
        <v>5260.3268626780191</v>
      </c>
      <c r="S40" s="9">
        <f t="shared" si="6"/>
        <v>7220.0972749697103</v>
      </c>
      <c r="T40" s="9">
        <f t="shared" si="6"/>
        <v>9556.9055904965571</v>
      </c>
      <c r="U40" s="9">
        <f t="shared" si="6"/>
        <v>12339.31965226019</v>
      </c>
      <c r="V40" s="9">
        <f t="shared" si="6"/>
        <v>15648.271366308654</v>
      </c>
      <c r="W40" s="9">
        <f t="shared" si="6"/>
        <v>19579.282864003162</v>
      </c>
      <c r="X40" s="9">
        <f t="shared" si="6"/>
        <v>24245.093393158961</v>
      </c>
      <c r="Y40" s="9">
        <f t="shared" si="6"/>
        <v>29778.75906982569</v>
      </c>
      <c r="Z40" s="9">
        <f t="shared" si="6"/>
        <v>36337.31060620756</v>
      </c>
      <c r="AA40" s="9">
        <f t="shared" si="6"/>
        <v>44106.069451032621</v>
      </c>
      <c r="AB40" s="9">
        <f t="shared" si="6"/>
        <v>53303.740857234094</v>
      </c>
      <c r="AC40" s="9">
        <f t="shared" si="6"/>
        <v>64188.42372450183</v>
      </c>
      <c r="AD40" s="9">
        <f t="shared" si="6"/>
        <v>77064.702236842277</v>
      </c>
      <c r="AE40" s="9">
        <f t="shared" si="6"/>
        <v>92292.014018930262</v>
      </c>
      <c r="AF40" s="9">
        <f t="shared" si="6"/>
        <v>110294.52458533796</v>
      </c>
      <c r="AG40" s="9">
        <f t="shared" si="6"/>
        <v>131572.77921608451</v>
      </c>
      <c r="AH40" s="9">
        <f t="shared" si="6"/>
        <v>156717.45219598961</v>
      </c>
      <c r="AI40" s="9">
        <f t="shared" si="6"/>
        <v>186425.57094408668</v>
      </c>
      <c r="AJ40" s="9">
        <f t="shared" si="6"/>
        <v>221519.66051409897</v>
      </c>
      <c r="AK40" s="9">
        <f t="shared" si="6"/>
        <v>262970.33413358906</v>
      </c>
      <c r="AL40" s="9">
        <f t="shared" si="6"/>
        <v>311922.95006958285</v>
      </c>
      <c r="AM40" s="10">
        <f t="shared" si="6"/>
        <v>369729.0667603052</v>
      </c>
      <c r="AN40" s="4"/>
    </row>
    <row r="41" spans="1:40" ht="15">
      <c r="A41" s="8" t="s">
        <v>175</v>
      </c>
      <c r="B41" s="34" t="s">
        <v>85</v>
      </c>
      <c r="C41" s="34" t="s">
        <v>176</v>
      </c>
      <c r="D41" s="9">
        <f>MAX(0,D40*Assumptions!$C$24)</f>
        <v>0</v>
      </c>
      <c r="E41" s="9">
        <f>MAX(0,E40*Assumptions!$C$24)</f>
        <v>0</v>
      </c>
      <c r="F41" s="9">
        <f>MAX(0,F40*Assumptions!$C$24)</f>
        <v>0</v>
      </c>
      <c r="G41" s="9">
        <f>MAX(0,G40*Assumptions!$C$24)</f>
        <v>0</v>
      </c>
      <c r="H41" s="9">
        <f>MAX(0,H40*Assumptions!$C$24)</f>
        <v>0</v>
      </c>
      <c r="I41" s="9">
        <f>MAX(0,I40*Assumptions!$C$24)</f>
        <v>0</v>
      </c>
      <c r="J41" s="9">
        <f>MAX(0,J40*Assumptions!$C$24)</f>
        <v>0</v>
      </c>
      <c r="K41" s="9">
        <f>MAX(0,K40*Assumptions!$C$24)</f>
        <v>0</v>
      </c>
      <c r="L41" s="9">
        <f>MAX(0,L40*Assumptions!$C$24)</f>
        <v>0</v>
      </c>
      <c r="M41" s="9">
        <f>MAX(0,M40*Assumptions!$C$24)</f>
        <v>0</v>
      </c>
      <c r="N41" s="9">
        <f>MAX(0,N40*Assumptions!$C$24)</f>
        <v>0</v>
      </c>
      <c r="O41" s="9">
        <f>MAX(0,O40*Assumptions!$C$24)</f>
        <v>0</v>
      </c>
      <c r="P41" s="9">
        <f>MAX(0,P40*Assumptions!$C$24)</f>
        <v>0</v>
      </c>
      <c r="Q41" s="9">
        <f>MAX(0,Q40*Assumptions!$C$24)</f>
        <v>0</v>
      </c>
      <c r="R41" s="9">
        <f>MAX(0,R40*Assumptions!$C$24)</f>
        <v>0</v>
      </c>
      <c r="S41" s="9">
        <f>MAX(0,S40*Assumptions!$C$24)</f>
        <v>0</v>
      </c>
      <c r="T41" s="9">
        <f>MAX(0,T40*Assumptions!$C$24)</f>
        <v>0</v>
      </c>
      <c r="U41" s="9">
        <f>MAX(0,U40*Assumptions!$C$24)</f>
        <v>0</v>
      </c>
      <c r="V41" s="9">
        <f>MAX(0,V40*Assumptions!$C$24)</f>
        <v>0</v>
      </c>
      <c r="W41" s="9">
        <f>MAX(0,W40*Assumptions!$C$24)</f>
        <v>0</v>
      </c>
      <c r="X41" s="9">
        <f>MAX(0,X40*Assumptions!$C$24)</f>
        <v>0</v>
      </c>
      <c r="Y41" s="9">
        <f>MAX(0,Y40*Assumptions!$C$24)</f>
        <v>0</v>
      </c>
      <c r="Z41" s="9">
        <f>MAX(0,Z40*Assumptions!$C$24)</f>
        <v>0</v>
      </c>
      <c r="AA41" s="9">
        <f>MAX(0,AA40*Assumptions!$C$24)</f>
        <v>0</v>
      </c>
      <c r="AB41" s="9">
        <f>MAX(0,AB40*Assumptions!$C$24)</f>
        <v>0</v>
      </c>
      <c r="AC41" s="9">
        <f>MAX(0,AC40*Assumptions!$C$24)</f>
        <v>0</v>
      </c>
      <c r="AD41" s="9">
        <f>MAX(0,AD40*Assumptions!$C$24)</f>
        <v>0</v>
      </c>
      <c r="AE41" s="9">
        <f>MAX(0,AE40*Assumptions!$C$24)</f>
        <v>0</v>
      </c>
      <c r="AF41" s="9">
        <f>MAX(0,AF40*Assumptions!$C$24)</f>
        <v>0</v>
      </c>
      <c r="AG41" s="9">
        <f>MAX(0,AG40*Assumptions!$C$24)</f>
        <v>0</v>
      </c>
      <c r="AH41" s="9">
        <f>MAX(0,AH40*Assumptions!$C$24)</f>
        <v>0</v>
      </c>
      <c r="AI41" s="9">
        <f>MAX(0,AI40*Assumptions!$C$24)</f>
        <v>0</v>
      </c>
      <c r="AJ41" s="9">
        <f>MAX(0,AJ40*Assumptions!$C$24)</f>
        <v>0</v>
      </c>
      <c r="AK41" s="9">
        <f>MAX(0,AK40*Assumptions!$C$24)</f>
        <v>0</v>
      </c>
      <c r="AL41" s="9">
        <f>MAX(0,AL40*Assumptions!$C$24)</f>
        <v>0</v>
      </c>
      <c r="AM41" s="10">
        <f>MAX(0,AM40*Assumptions!$C$24)</f>
        <v>0</v>
      </c>
      <c r="AN41" s="4"/>
    </row>
    <row r="42" spans="1:40" ht="15">
      <c r="A42" s="8" t="s">
        <v>177</v>
      </c>
      <c r="B42" s="34" t="s">
        <v>85</v>
      </c>
      <c r="C42" s="34" t="s">
        <v>178</v>
      </c>
      <c r="D42" s="9">
        <f t="shared" ref="D42:AM42" si="7">D40-D41</f>
        <v>-3528.0374999999999</v>
      </c>
      <c r="E42" s="9">
        <f t="shared" si="7"/>
        <v>-3427.3642499999996</v>
      </c>
      <c r="F42" s="9">
        <f t="shared" si="7"/>
        <v>-3292.1214150000005</v>
      </c>
      <c r="G42" s="9">
        <f t="shared" si="7"/>
        <v>-3115.6349217000002</v>
      </c>
      <c r="H42" s="9">
        <f t="shared" si="7"/>
        <v>-2890.014560046001</v>
      </c>
      <c r="I42" s="9">
        <f t="shared" si="7"/>
        <v>-2605.9346722210794</v>
      </c>
      <c r="J42" s="9">
        <f t="shared" si="7"/>
        <v>-2252.3753523316718</v>
      </c>
      <c r="K42" s="9">
        <f t="shared" si="7"/>
        <v>-1816.3170483483964</v>
      </c>
      <c r="L42" s="9">
        <f t="shared" si="7"/>
        <v>-1282.3801783295548</v>
      </c>
      <c r="M42" s="9">
        <f t="shared" si="7"/>
        <v>-632.3998631080849</v>
      </c>
      <c r="N42" s="9">
        <f t="shared" si="7"/>
        <v>155.07590399733454</v>
      </c>
      <c r="O42" s="9">
        <f t="shared" si="7"/>
        <v>1105.378432198404</v>
      </c>
      <c r="P42" s="9">
        <f t="shared" si="7"/>
        <v>2248.4171154605592</v>
      </c>
      <c r="Q42" s="9">
        <f t="shared" si="7"/>
        <v>3619.5040116737309</v>
      </c>
      <c r="R42" s="9">
        <f t="shared" si="7"/>
        <v>5260.3268626780191</v>
      </c>
      <c r="S42" s="9">
        <f t="shared" si="7"/>
        <v>7220.0972749697103</v>
      </c>
      <c r="T42" s="9">
        <f t="shared" si="7"/>
        <v>9556.9055904965571</v>
      </c>
      <c r="U42" s="9">
        <f t="shared" si="7"/>
        <v>12339.31965226019</v>
      </c>
      <c r="V42" s="9">
        <f t="shared" si="7"/>
        <v>15648.271366308654</v>
      </c>
      <c r="W42" s="9">
        <f t="shared" si="7"/>
        <v>19579.282864003162</v>
      </c>
      <c r="X42" s="9">
        <f t="shared" si="7"/>
        <v>24245.093393158961</v>
      </c>
      <c r="Y42" s="9">
        <f t="shared" si="7"/>
        <v>29778.75906982569</v>
      </c>
      <c r="Z42" s="9">
        <f t="shared" si="7"/>
        <v>36337.31060620756</v>
      </c>
      <c r="AA42" s="9">
        <f t="shared" si="7"/>
        <v>44106.069451032621</v>
      </c>
      <c r="AB42" s="9">
        <f t="shared" si="7"/>
        <v>53303.740857234094</v>
      </c>
      <c r="AC42" s="9">
        <f t="shared" si="7"/>
        <v>64188.42372450183</v>
      </c>
      <c r="AD42" s="9">
        <f t="shared" si="7"/>
        <v>77064.702236842277</v>
      </c>
      <c r="AE42" s="9">
        <f t="shared" si="7"/>
        <v>92292.014018930262</v>
      </c>
      <c r="AF42" s="9">
        <f t="shared" si="7"/>
        <v>110294.52458533796</v>
      </c>
      <c r="AG42" s="9">
        <f t="shared" si="7"/>
        <v>131572.77921608451</v>
      </c>
      <c r="AH42" s="9">
        <f t="shared" si="7"/>
        <v>156717.45219598961</v>
      </c>
      <c r="AI42" s="9">
        <f t="shared" si="7"/>
        <v>186425.57094408668</v>
      </c>
      <c r="AJ42" s="9">
        <f t="shared" si="7"/>
        <v>221519.66051409897</v>
      </c>
      <c r="AK42" s="9">
        <f t="shared" si="7"/>
        <v>262970.33413358906</v>
      </c>
      <c r="AL42" s="9">
        <f t="shared" si="7"/>
        <v>311922.95006958285</v>
      </c>
      <c r="AM42" s="10">
        <f t="shared" si="7"/>
        <v>369729.0667603052</v>
      </c>
      <c r="AN42" s="4"/>
    </row>
    <row r="43" spans="1:40" ht="27">
      <c r="A43" s="11" t="s">
        <v>11</v>
      </c>
      <c r="B43" s="35" t="s">
        <v>85</v>
      </c>
      <c r="C43" s="35" t="s">
        <v>179</v>
      </c>
      <c r="D43" s="12">
        <f>Assumptions!$C$23+D42</f>
        <v>6471.9624999999996</v>
      </c>
      <c r="E43" s="12">
        <f t="shared" ref="E43:AM43" si="8">D43+E42</f>
        <v>3044.59825</v>
      </c>
      <c r="F43" s="12">
        <f t="shared" si="8"/>
        <v>-247.52316500000052</v>
      </c>
      <c r="G43" s="12">
        <f t="shared" si="8"/>
        <v>-3363.1580867000007</v>
      </c>
      <c r="H43" s="12">
        <f t="shared" si="8"/>
        <v>-6253.1726467460012</v>
      </c>
      <c r="I43" s="12">
        <f t="shared" si="8"/>
        <v>-8859.1073189670806</v>
      </c>
      <c r="J43" s="12">
        <f t="shared" si="8"/>
        <v>-11111.482671298752</v>
      </c>
      <c r="K43" s="12">
        <f t="shared" si="8"/>
        <v>-12927.799719647148</v>
      </c>
      <c r="L43" s="12">
        <f t="shared" si="8"/>
        <v>-14210.179897976703</v>
      </c>
      <c r="M43" s="12">
        <f t="shared" si="8"/>
        <v>-14842.579761084788</v>
      </c>
      <c r="N43" s="12">
        <f t="shared" si="8"/>
        <v>-14687.503857087453</v>
      </c>
      <c r="O43" s="12">
        <f t="shared" si="8"/>
        <v>-13582.125424889049</v>
      </c>
      <c r="P43" s="12">
        <f t="shared" si="8"/>
        <v>-11333.70830942849</v>
      </c>
      <c r="Q43" s="12">
        <f t="shared" si="8"/>
        <v>-7714.204297754759</v>
      </c>
      <c r="R43" s="12">
        <f t="shared" si="8"/>
        <v>-2453.8774350767399</v>
      </c>
      <c r="S43" s="12">
        <f t="shared" si="8"/>
        <v>4766.2198398929704</v>
      </c>
      <c r="T43" s="12">
        <f t="shared" si="8"/>
        <v>14323.125430389528</v>
      </c>
      <c r="U43" s="12">
        <f t="shared" si="8"/>
        <v>26662.44508264972</v>
      </c>
      <c r="V43" s="12">
        <f t="shared" si="8"/>
        <v>42310.716448958374</v>
      </c>
      <c r="W43" s="12">
        <f t="shared" si="8"/>
        <v>61889.999312961532</v>
      </c>
      <c r="X43" s="12">
        <f t="shared" si="8"/>
        <v>86135.092706120486</v>
      </c>
      <c r="Y43" s="12">
        <f t="shared" si="8"/>
        <v>115913.85177594618</v>
      </c>
      <c r="Z43" s="12">
        <f t="shared" si="8"/>
        <v>152251.16238215374</v>
      </c>
      <c r="AA43" s="12">
        <f t="shared" si="8"/>
        <v>196357.23183318635</v>
      </c>
      <c r="AB43" s="12">
        <f t="shared" si="8"/>
        <v>249660.97269042046</v>
      </c>
      <c r="AC43" s="12">
        <f t="shared" si="8"/>
        <v>313849.39641492232</v>
      </c>
      <c r="AD43" s="12">
        <f t="shared" si="8"/>
        <v>390914.09865176457</v>
      </c>
      <c r="AE43" s="12">
        <f t="shared" si="8"/>
        <v>483206.11267069483</v>
      </c>
      <c r="AF43" s="12">
        <f t="shared" si="8"/>
        <v>593500.63725603279</v>
      </c>
      <c r="AG43" s="12">
        <f t="shared" si="8"/>
        <v>725073.4164721173</v>
      </c>
      <c r="AH43" s="12">
        <f t="shared" si="8"/>
        <v>881790.86866810685</v>
      </c>
      <c r="AI43" s="12">
        <f t="shared" si="8"/>
        <v>1068216.4396121935</v>
      </c>
      <c r="AJ43" s="12">
        <f t="shared" si="8"/>
        <v>1289736.1001262926</v>
      </c>
      <c r="AK43" s="12">
        <f t="shared" si="8"/>
        <v>1552706.4342598817</v>
      </c>
      <c r="AL43" s="12">
        <f t="shared" si="8"/>
        <v>1864629.3843294645</v>
      </c>
      <c r="AM43" s="13">
        <f t="shared" si="8"/>
        <v>2234358.4510897696</v>
      </c>
      <c r="AN43" s="4"/>
    </row>
  </sheetData>
  <mergeCells count="9">
    <mergeCell ref="A22:AM22"/>
    <mergeCell ref="A28:AM28"/>
    <mergeCell ref="A32:AM32"/>
    <mergeCell ref="A39:AM39"/>
    <mergeCell ref="A1:AN1"/>
    <mergeCell ref="A2:H2"/>
    <mergeCell ref="A6:AM6"/>
    <mergeCell ref="A11:AM11"/>
    <mergeCell ref="A16:AM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showGridLines="0" workbookViewId="0">
      <selection sqref="A1:H1"/>
    </sheetView>
  </sheetViews>
  <sheetFormatPr defaultRowHeight="14.25"/>
  <cols>
    <col min="1" max="1" width="31.25" customWidth="1"/>
    <col min="2" max="4" width="15" customWidth="1"/>
    <col min="5" max="7" width="17.5" customWidth="1"/>
    <col min="8" max="8" width="20" customWidth="1"/>
  </cols>
  <sheetData>
    <row r="1" spans="1:8" ht="31.5" customHeight="1">
      <c r="A1" s="49" t="s">
        <v>180</v>
      </c>
      <c r="B1" s="49" t="s">
        <v>180</v>
      </c>
      <c r="C1" s="49" t="s">
        <v>180</v>
      </c>
      <c r="D1" s="49" t="s">
        <v>180</v>
      </c>
      <c r="E1" s="49" t="s">
        <v>180</v>
      </c>
      <c r="F1" s="49" t="s">
        <v>180</v>
      </c>
      <c r="G1" s="49" t="s">
        <v>180</v>
      </c>
      <c r="H1" s="49" t="s">
        <v>180</v>
      </c>
    </row>
    <row r="2" spans="1:8" ht="15">
      <c r="A2" s="47" t="s">
        <v>181</v>
      </c>
      <c r="B2" s="48"/>
      <c r="C2" s="48"/>
      <c r="D2" s="48"/>
      <c r="E2" s="48"/>
      <c r="F2" s="48"/>
      <c r="G2" s="48"/>
      <c r="H2" s="48"/>
    </row>
    <row r="3" spans="1:8" ht="15">
      <c r="A3" s="4"/>
      <c r="B3" s="4"/>
      <c r="C3" s="4"/>
      <c r="D3" s="4"/>
      <c r="E3" s="4"/>
      <c r="F3" s="4"/>
      <c r="G3" s="4"/>
      <c r="H3" s="4"/>
    </row>
    <row r="4" spans="1:8" ht="15">
      <c r="A4" s="1" t="s">
        <v>92</v>
      </c>
      <c r="B4" s="2" t="s">
        <v>3</v>
      </c>
      <c r="C4" s="2" t="s">
        <v>4</v>
      </c>
      <c r="D4" s="2" t="s">
        <v>5</v>
      </c>
      <c r="E4" s="3" t="s">
        <v>182</v>
      </c>
      <c r="F4" s="4"/>
      <c r="G4" s="4"/>
      <c r="H4" s="4"/>
    </row>
    <row r="5" spans="1:8" ht="15">
      <c r="A5" s="5" t="s">
        <v>131</v>
      </c>
      <c r="B5" s="41">
        <f>SUM('Monthly Model'!D7:O7)</f>
        <v>1047.9321041848541</v>
      </c>
      <c r="C5" s="41">
        <f>SUM('Monthly Model'!P7:AA7)</f>
        <v>7636.9022740726277</v>
      </c>
      <c r="D5" s="41">
        <f>SUM('Monthly Model'!AB7:AM7)</f>
        <v>55654.632691210762</v>
      </c>
      <c r="E5" s="42">
        <f>SUM(B5:D5)</f>
        <v>64339.467069468243</v>
      </c>
      <c r="F5" s="4"/>
      <c r="G5" s="4"/>
      <c r="H5" s="4"/>
    </row>
    <row r="6" spans="1:8" ht="15">
      <c r="A6" s="8" t="s">
        <v>135</v>
      </c>
      <c r="B6" s="14">
        <f>'Monthly Model'!O9</f>
        <v>941.96432344481229</v>
      </c>
      <c r="C6" s="14">
        <f>'Monthly Model'!AA9</f>
        <v>7518.2270068047374</v>
      </c>
      <c r="D6" s="14">
        <f>'Monthly Model'!AM9</f>
        <v>55243.253536419194</v>
      </c>
      <c r="E6" s="15">
        <f>D6</f>
        <v>55243.253536419194</v>
      </c>
      <c r="F6" s="4"/>
      <c r="G6" s="4"/>
      <c r="H6" s="4"/>
    </row>
    <row r="7" spans="1:8" ht="15">
      <c r="A7" s="8" t="s">
        <v>9</v>
      </c>
      <c r="B7" s="9">
        <f>SUM('Monthly Model'!D20:O20)</f>
        <v>68901.535850154149</v>
      </c>
      <c r="C7" s="9">
        <f>SUM('Monthly Model'!P20:AA20)</f>
        <v>502126.32452027523</v>
      </c>
      <c r="D7" s="9">
        <f>SUM('Monthly Model'!AB20:AM20)</f>
        <v>3659292.0994471074</v>
      </c>
      <c r="E7" s="10">
        <f>SUM(B7:D7)</f>
        <v>4230319.9598175371</v>
      </c>
      <c r="F7" s="4"/>
      <c r="G7" s="4"/>
      <c r="H7" s="4"/>
    </row>
    <row r="8" spans="1:8" ht="15">
      <c r="A8" s="8" t="s">
        <v>157</v>
      </c>
      <c r="B8" s="9">
        <f>SUM('Monthly Model'!D26:O26)</f>
        <v>8348.7799343282804</v>
      </c>
      <c r="C8" s="9">
        <f>SUM('Monthly Model'!P26:AA26)</f>
        <v>68302.184040566382</v>
      </c>
      <c r="D8" s="9">
        <f>SUM('Monthly Model'!AB26:AM26)</f>
        <v>502934.33256879938</v>
      </c>
      <c r="E8" s="10">
        <f>SUM(B8:D8)</f>
        <v>579585.2965436941</v>
      </c>
      <c r="F8" s="4"/>
      <c r="G8" s="4"/>
      <c r="H8" s="4"/>
    </row>
    <row r="9" spans="1:8" ht="15">
      <c r="A9" s="8" t="s">
        <v>160</v>
      </c>
      <c r="B9" s="9">
        <f>SUM('Monthly Model'!D29:O29)</f>
        <v>60552.755915825881</v>
      </c>
      <c r="C9" s="9">
        <f>SUM('Monthly Model'!P29:AA29)</f>
        <v>433824.14047970891</v>
      </c>
      <c r="D9" s="9">
        <f>SUM('Monthly Model'!AB29:AM29)</f>
        <v>3156357.7668783083</v>
      </c>
      <c r="E9" s="10">
        <f>SUM(B9:D9)</f>
        <v>3650734.663273843</v>
      </c>
      <c r="F9" s="4"/>
      <c r="G9" s="4"/>
      <c r="H9" s="4"/>
    </row>
    <row r="10" spans="1:8" ht="15">
      <c r="A10" s="8" t="s">
        <v>13</v>
      </c>
      <c r="B10" s="39">
        <f>IFERROR(B9/B7,0)</f>
        <v>0.87883027814524994</v>
      </c>
      <c r="C10" s="39">
        <f>IFERROR(C9/C7,0)</f>
        <v>0.86397410232211724</v>
      </c>
      <c r="D10" s="39">
        <f>IFERROR(D9/D7,0)</f>
        <v>0.86255966484752911</v>
      </c>
      <c r="E10" s="40">
        <f>IFERROR(E9/E7,0)</f>
        <v>0.8629925627259899</v>
      </c>
      <c r="F10" s="4"/>
      <c r="G10" s="4"/>
      <c r="H10" s="4"/>
    </row>
    <row r="11" spans="1:8" ht="15">
      <c r="A11" s="8" t="s">
        <v>171</v>
      </c>
      <c r="B11" s="9">
        <f>SUM('Monthly Model'!D37:O37)</f>
        <v>84134.881340714928</v>
      </c>
      <c r="C11" s="9">
        <f>SUM('Monthly Model'!P37:AA37)</f>
        <v>223884.78322163344</v>
      </c>
      <c r="D11" s="9">
        <f>SUM('Monthly Model'!AB37:AM37)</f>
        <v>1118356.5476217251</v>
      </c>
      <c r="E11" s="10">
        <f>SUM(B11:D11)</f>
        <v>1426376.2121840734</v>
      </c>
      <c r="F11" s="4"/>
      <c r="G11" s="4"/>
      <c r="H11" s="4"/>
    </row>
    <row r="12" spans="1:8" ht="15">
      <c r="A12" s="8" t="s">
        <v>10</v>
      </c>
      <c r="B12" s="9">
        <f>SUM('Monthly Model'!D40:O40)</f>
        <v>-23582.12542488904</v>
      </c>
      <c r="C12" s="9">
        <f>SUM('Monthly Model'!P40:AA40)</f>
        <v>209939.35725807541</v>
      </c>
      <c r="D12" s="9">
        <f>SUM('Monthly Model'!AB40:AM40)</f>
        <v>2038001.2192565831</v>
      </c>
      <c r="E12" s="10">
        <f>SUM(B12:D12)</f>
        <v>2224358.4510897696</v>
      </c>
      <c r="F12" s="4"/>
      <c r="G12" s="4"/>
      <c r="H12" s="4"/>
    </row>
    <row r="13" spans="1:8" ht="15">
      <c r="A13" s="8" t="s">
        <v>177</v>
      </c>
      <c r="B13" s="9">
        <f>SUM('Monthly Model'!D42:O42)</f>
        <v>-23582.12542488904</v>
      </c>
      <c r="C13" s="9">
        <f>SUM('Monthly Model'!P42:AA42)</f>
        <v>209939.35725807541</v>
      </c>
      <c r="D13" s="9">
        <f>SUM('Monthly Model'!AB42:AM42)</f>
        <v>2038001.2192565831</v>
      </c>
      <c r="E13" s="10">
        <f>SUM(B13:D13)</f>
        <v>2224358.4510897696</v>
      </c>
      <c r="F13" s="4"/>
      <c r="G13" s="4"/>
      <c r="H13" s="4"/>
    </row>
    <row r="14" spans="1:8" ht="15">
      <c r="A14" s="11" t="s">
        <v>11</v>
      </c>
      <c r="B14" s="12">
        <f>'Monthly Model'!O43</f>
        <v>-13582.125424889049</v>
      </c>
      <c r="C14" s="12">
        <f>'Monthly Model'!AA43</f>
        <v>196357.23183318635</v>
      </c>
      <c r="D14" s="12">
        <f>'Monthly Model'!AM43</f>
        <v>2234358.4510897696</v>
      </c>
      <c r="E14" s="13">
        <f>D14</f>
        <v>2234358.4510897696</v>
      </c>
      <c r="F14" s="4"/>
      <c r="G14" s="4"/>
      <c r="H14" s="4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"/>
  <sheetViews>
    <sheetView showGridLines="0" workbookViewId="0">
      <selection sqref="A1:H1"/>
    </sheetView>
  </sheetViews>
  <sheetFormatPr defaultRowHeight="14.25"/>
  <cols>
    <col min="1" max="1" width="33.75" customWidth="1"/>
    <col min="2" max="4" width="18.75" customWidth="1"/>
    <col min="5" max="5" width="25" customWidth="1"/>
    <col min="6" max="6" width="27.5" customWidth="1"/>
    <col min="7" max="8" width="15" customWidth="1"/>
  </cols>
  <sheetData>
    <row r="1" spans="1:8" ht="31.5" customHeight="1">
      <c r="A1" s="49" t="s">
        <v>183</v>
      </c>
      <c r="B1" s="49" t="s">
        <v>183</v>
      </c>
      <c r="C1" s="49" t="s">
        <v>183</v>
      </c>
      <c r="D1" s="49" t="s">
        <v>183</v>
      </c>
      <c r="E1" s="49" t="s">
        <v>183</v>
      </c>
      <c r="F1" s="49" t="s">
        <v>183</v>
      </c>
      <c r="G1" s="49" t="s">
        <v>183</v>
      </c>
      <c r="H1" s="49" t="s">
        <v>183</v>
      </c>
    </row>
    <row r="2" spans="1:8" ht="15">
      <c r="A2" s="47" t="s">
        <v>184</v>
      </c>
      <c r="B2" s="48"/>
      <c r="C2" s="48"/>
      <c r="D2" s="48"/>
      <c r="E2" s="48"/>
      <c r="F2" s="48"/>
      <c r="G2" s="48"/>
      <c r="H2" s="48"/>
    </row>
    <row r="3" spans="1:8" ht="15">
      <c r="A3" s="4"/>
      <c r="B3" s="4"/>
      <c r="C3" s="4"/>
      <c r="D3" s="4"/>
      <c r="E3" s="4"/>
      <c r="F3" s="4"/>
      <c r="G3" s="4"/>
      <c r="H3" s="4"/>
    </row>
    <row r="4" spans="1:8" ht="15">
      <c r="A4" s="1" t="s">
        <v>92</v>
      </c>
      <c r="B4" s="2" t="s">
        <v>185</v>
      </c>
      <c r="C4" s="2" t="s">
        <v>186</v>
      </c>
      <c r="D4" s="2" t="s">
        <v>23</v>
      </c>
      <c r="E4" s="3" t="s">
        <v>187</v>
      </c>
      <c r="F4" s="4"/>
      <c r="G4" s="4"/>
      <c r="H4" s="4"/>
    </row>
    <row r="5" spans="1:8" ht="27">
      <c r="A5" s="5" t="s">
        <v>188</v>
      </c>
      <c r="B5" s="36" t="s">
        <v>189</v>
      </c>
      <c r="C5" s="6">
        <f>Assumptions!$C$6*Assumptions!$C$9+Assumptions!$C$7*(1-Assumptions!$C$9)</f>
        <v>61</v>
      </c>
      <c r="D5" s="36" t="s">
        <v>57</v>
      </c>
      <c r="E5" s="37" t="s">
        <v>190</v>
      </c>
      <c r="F5" s="4"/>
      <c r="G5" s="4"/>
      <c r="H5" s="4"/>
    </row>
    <row r="6" spans="1:8" ht="27">
      <c r="A6" s="8" t="s">
        <v>191</v>
      </c>
      <c r="B6" s="34" t="s">
        <v>192</v>
      </c>
      <c r="C6" s="9">
        <f>Assumptions!$C$8*Assumptions!$C$10</f>
        <v>4.75</v>
      </c>
      <c r="D6" s="34" t="s">
        <v>57</v>
      </c>
      <c r="E6" s="38" t="s">
        <v>193</v>
      </c>
      <c r="F6" s="4"/>
      <c r="G6" s="4"/>
      <c r="H6" s="4"/>
    </row>
    <row r="7" spans="1:8" ht="27">
      <c r="A7" s="8" t="s">
        <v>194</v>
      </c>
      <c r="B7" s="34" t="s">
        <v>195</v>
      </c>
      <c r="C7" s="9">
        <f>C5+C6</f>
        <v>65.75</v>
      </c>
      <c r="D7" s="34" t="s">
        <v>57</v>
      </c>
      <c r="E7" s="38" t="s">
        <v>196</v>
      </c>
      <c r="F7" s="4"/>
      <c r="G7" s="4"/>
      <c r="H7" s="4"/>
    </row>
    <row r="8" spans="1:8" ht="27">
      <c r="A8" s="8" t="s">
        <v>197</v>
      </c>
      <c r="B8" s="34" t="s">
        <v>198</v>
      </c>
      <c r="C8" s="9">
        <f>C7*Assumptions!$C$15+Assumptions!$C$16</f>
        <v>3.30125</v>
      </c>
      <c r="D8" s="34" t="s">
        <v>57</v>
      </c>
      <c r="E8" s="38" t="s">
        <v>199</v>
      </c>
      <c r="F8" s="4"/>
      <c r="G8" s="4"/>
      <c r="H8" s="4"/>
    </row>
    <row r="9" spans="1:8" ht="27">
      <c r="A9" s="8" t="s">
        <v>200</v>
      </c>
      <c r="B9" s="34" t="s">
        <v>201</v>
      </c>
      <c r="C9" s="9">
        <f>Assumptions!$C$17*Assumptions!$C$10</f>
        <v>1.25</v>
      </c>
      <c r="D9" s="34" t="s">
        <v>57</v>
      </c>
      <c r="E9" s="38" t="s">
        <v>202</v>
      </c>
      <c r="F9" s="4"/>
      <c r="G9" s="4"/>
      <c r="H9" s="4"/>
    </row>
    <row r="10" spans="1:8" ht="27">
      <c r="A10" s="8" t="s">
        <v>203</v>
      </c>
      <c r="B10" s="34" t="s">
        <v>204</v>
      </c>
      <c r="C10" s="9">
        <f>C7-C8-C9</f>
        <v>61.198749999999997</v>
      </c>
      <c r="D10" s="34" t="s">
        <v>57</v>
      </c>
      <c r="E10" s="38" t="s">
        <v>205</v>
      </c>
      <c r="F10" s="4"/>
      <c r="G10" s="4"/>
      <c r="H10" s="4"/>
    </row>
    <row r="11" spans="1:8" ht="15">
      <c r="A11" s="8" t="s">
        <v>206</v>
      </c>
      <c r="B11" s="34" t="s">
        <v>207</v>
      </c>
      <c r="C11" s="9">
        <f>Assumptions!$C$14</f>
        <v>18</v>
      </c>
      <c r="D11" s="34" t="s">
        <v>57</v>
      </c>
      <c r="E11" s="38" t="s">
        <v>208</v>
      </c>
      <c r="F11" s="4"/>
      <c r="G11" s="4"/>
      <c r="H11" s="4"/>
    </row>
    <row r="12" spans="1:8" ht="27">
      <c r="A12" s="8" t="s">
        <v>209</v>
      </c>
      <c r="B12" s="34" t="s">
        <v>210</v>
      </c>
      <c r="C12" s="9">
        <f>C10-C11</f>
        <v>43.198749999999997</v>
      </c>
      <c r="D12" s="34" t="s">
        <v>57</v>
      </c>
      <c r="E12" s="38" t="s">
        <v>211</v>
      </c>
      <c r="F12" s="4"/>
      <c r="G12" s="4"/>
      <c r="H12" s="4"/>
    </row>
    <row r="13" spans="1:8" ht="40.5">
      <c r="A13" s="11" t="s">
        <v>212</v>
      </c>
      <c r="B13" s="35" t="s">
        <v>213</v>
      </c>
      <c r="C13" s="43">
        <f>IFERROR(C11/C10,0)</f>
        <v>0.29412365448640698</v>
      </c>
      <c r="D13" s="35" t="s">
        <v>214</v>
      </c>
      <c r="E13" s="44" t="s">
        <v>215</v>
      </c>
      <c r="F13" s="4"/>
      <c r="G13" s="4"/>
      <c r="H13" s="4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showGridLines="0" workbookViewId="0">
      <selection activeCell="E12" sqref="E12"/>
    </sheetView>
  </sheetViews>
  <sheetFormatPr defaultRowHeight="14.25"/>
  <cols>
    <col min="1" max="1" width="28.75" customWidth="1"/>
    <col min="2" max="4" width="17.5" customWidth="1"/>
    <col min="5" max="7" width="18.75" customWidth="1"/>
    <col min="8" max="10" width="20" customWidth="1"/>
  </cols>
  <sheetData>
    <row r="1" spans="1:10" ht="31.5" customHeight="1">
      <c r="A1" s="49" t="s">
        <v>216</v>
      </c>
      <c r="B1" s="49" t="s">
        <v>216</v>
      </c>
      <c r="C1" s="49" t="s">
        <v>216</v>
      </c>
      <c r="D1" s="49" t="s">
        <v>216</v>
      </c>
      <c r="E1" s="49" t="s">
        <v>216</v>
      </c>
      <c r="F1" s="49" t="s">
        <v>216</v>
      </c>
      <c r="G1" s="49" t="s">
        <v>216</v>
      </c>
      <c r="H1" s="49" t="s">
        <v>216</v>
      </c>
      <c r="I1" s="49" t="s">
        <v>216</v>
      </c>
      <c r="J1" s="49" t="s">
        <v>216</v>
      </c>
    </row>
    <row r="2" spans="1:10" ht="15">
      <c r="A2" s="47" t="s">
        <v>217</v>
      </c>
      <c r="B2" s="48"/>
      <c r="C2" s="48"/>
      <c r="D2" s="48"/>
      <c r="E2" s="48"/>
      <c r="F2" s="48"/>
      <c r="G2" s="48"/>
      <c r="H2" s="48"/>
      <c r="I2" s="4"/>
      <c r="J2" s="4"/>
    </row>
    <row r="3" spans="1:10" ht="15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ht="15">
      <c r="A4" s="1" t="s">
        <v>92</v>
      </c>
      <c r="B4" s="2" t="s">
        <v>218</v>
      </c>
      <c r="C4" s="2" t="s">
        <v>219</v>
      </c>
      <c r="D4" s="2" t="s">
        <v>220</v>
      </c>
      <c r="E4" s="2" t="s">
        <v>221</v>
      </c>
      <c r="F4" s="2" t="s">
        <v>222</v>
      </c>
      <c r="G4" s="2" t="s">
        <v>223</v>
      </c>
      <c r="H4" s="2" t="s">
        <v>25</v>
      </c>
      <c r="I4" s="2"/>
      <c r="J4" s="3"/>
    </row>
    <row r="5" spans="1:10" ht="15">
      <c r="A5" s="5" t="s">
        <v>224</v>
      </c>
      <c r="B5" s="41">
        <f>Assumptions!$D$11*(1+Assumptions!$D$12)^35</f>
        <v>421.53655272096478</v>
      </c>
      <c r="C5" s="41">
        <f>'Annual Summary'!D6</f>
        <v>55243.253536419194</v>
      </c>
      <c r="D5" s="42">
        <f>Assumptions!$E$11*(1+Assumptions!$E$12)^35</f>
        <v>147911.41972893971</v>
      </c>
      <c r="E5" s="4"/>
      <c r="F5" s="4"/>
      <c r="G5" s="4"/>
      <c r="H5" s="4"/>
      <c r="I5" s="4"/>
      <c r="J5" s="4"/>
    </row>
    <row r="6" spans="1:10" ht="15">
      <c r="A6" s="8" t="s">
        <v>225</v>
      </c>
      <c r="B6" s="9">
        <f>(Assumptions!$D$11*(1+Assumptions!$D$12)^24)*((1+Assumptions!$D$12)^12-1)/Assumptions!$D$12*(Assumptions!$D$6*Assumptions!$D$9+Assumptions!$D$7*(1-Assumptions!$D$9)+Assumptions!$D$8*Assumptions!$D$10)</f>
        <v>163501.13274045248</v>
      </c>
      <c r="C6" s="9">
        <f>'Annual Summary'!D7</f>
        <v>3659292.0994471074</v>
      </c>
      <c r="D6" s="10">
        <f>(Assumptions!$E$11*(1+Assumptions!$E$12)^24)*((1+Assumptions!$E$12)^12-1)/Assumptions!$E$12*(Assumptions!$E$6*Assumptions!$E$9+Assumptions!$E$7*(1-Assumptions!$E$9)+Assumptions!$E$8*Assumptions!$E$10)</f>
        <v>60436506.938778408</v>
      </c>
      <c r="E6" s="4"/>
      <c r="F6" s="4"/>
      <c r="G6" s="4"/>
      <c r="H6" s="4"/>
      <c r="I6" s="4"/>
      <c r="J6" s="4"/>
    </row>
    <row r="7" spans="1:10" ht="15">
      <c r="A7" s="8" t="s">
        <v>226</v>
      </c>
      <c r="B7" s="9">
        <f>B6*(1-Assumptions!$D$15)-(Assumptions!$D$19*(1+Assumptions!$D$20)^35*12+Assumptions!$D$22*12+Assumptions!$D$21*12+(Assumptions!$D$11*(1+Assumptions!$D$12)^24)*((1+Assumptions!$D$12)^12-1)/Assumptions!$D$12*Assumptions!$D$14)</f>
        <v>-13099.31746467913</v>
      </c>
      <c r="C7" s="9">
        <f>'Annual Summary'!D12</f>
        <v>2038001.2192565831</v>
      </c>
      <c r="D7" s="10">
        <f>D6*(1-Assumptions!$E$15)-(Assumptions!$E$19*(1+Assumptions!$E$20)^35*12+Assumptions!$E$22*12+Assumptions!$E$21*12+(Assumptions!$E$11*(1+Assumptions!$E$12)^24)*((1+Assumptions!$E$12)^12-1)/Assumptions!$E$12*Assumptions!$E$14)</f>
        <v>49998829.346846238</v>
      </c>
      <c r="E7" s="4"/>
      <c r="F7" s="4"/>
      <c r="G7" s="4"/>
      <c r="H7" s="4"/>
      <c r="I7" s="4"/>
      <c r="J7" s="4"/>
    </row>
    <row r="8" spans="1:10" ht="15">
      <c r="A8" s="8" t="s">
        <v>227</v>
      </c>
      <c r="B8" s="9">
        <f>Assumptions!$D$11*((1+Assumptions!$D$12)^36-1)/Assumptions!$D$12*(Assumptions!$D$6*Assumptions!$D$9+Assumptions!$D$7*(1-Assumptions!$D$9)+Assumptions!$D$8*Assumptions!$D$10)</f>
        <v>232197.18263640915</v>
      </c>
      <c r="C8" s="9">
        <f>'Annual Summary'!E7</f>
        <v>4230319.9598175371</v>
      </c>
      <c r="D8" s="10">
        <f>Assumptions!$E$11*((1+Assumptions!$E$12)^36-1)/Assumptions!$E$12*(Assumptions!$E$6*Assumptions!$E$9+Assumptions!$E$7*(1-Assumptions!$E$9)+Assumptions!$E$8*Assumptions!$E$10)</f>
        <v>64875075.406072304</v>
      </c>
      <c r="E8" s="4"/>
      <c r="F8" s="4"/>
      <c r="G8" s="4"/>
      <c r="H8" s="4"/>
      <c r="I8" s="4"/>
      <c r="J8" s="4"/>
    </row>
    <row r="9" spans="1:10" ht="15">
      <c r="A9" s="11" t="s">
        <v>228</v>
      </c>
      <c r="B9" s="12">
        <f>B8*(1-Assumptions!$D$15)-(Assumptions!$D$19*36+Assumptions!$D$22*36+Assumptions!$D$21*36)</f>
        <v>86109.295330952766</v>
      </c>
      <c r="C9" s="12">
        <f>'Annual Summary'!E12</f>
        <v>2224358.4510897696</v>
      </c>
      <c r="D9" s="13">
        <f>D8*(1-Assumptions!$E$15)-(Assumptions!$E$19*36+Assumptions!$E$22*36+Assumptions!$E$21*36)</f>
        <v>62662423.143890135</v>
      </c>
      <c r="E9" s="4"/>
      <c r="F9" s="4"/>
      <c r="G9" s="4"/>
      <c r="H9" s="4"/>
      <c r="I9" s="4"/>
      <c r="J9" s="4"/>
    </row>
  </sheetData>
  <mergeCells count="2">
    <mergeCell ref="A1:J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"/>
  <sheetViews>
    <sheetView showGridLines="0" workbookViewId="0">
      <selection sqref="A1:H1"/>
    </sheetView>
  </sheetViews>
  <sheetFormatPr defaultRowHeight="14.25"/>
  <cols>
    <col min="1" max="1" width="32.5" customWidth="1"/>
    <col min="2" max="4" width="20" customWidth="1"/>
    <col min="5" max="5" width="15" customWidth="1"/>
    <col min="6" max="6" width="32.5" customWidth="1"/>
    <col min="7" max="8" width="15" customWidth="1"/>
  </cols>
  <sheetData>
    <row r="1" spans="1:8" ht="31.5" customHeight="1">
      <c r="A1" s="49" t="s">
        <v>229</v>
      </c>
      <c r="B1" s="49" t="s">
        <v>229</v>
      </c>
      <c r="C1" s="49" t="s">
        <v>229</v>
      </c>
      <c r="D1" s="49" t="s">
        <v>229</v>
      </c>
      <c r="E1" s="49" t="s">
        <v>229</v>
      </c>
      <c r="F1" s="49" t="s">
        <v>229</v>
      </c>
      <c r="G1" s="49" t="s">
        <v>229</v>
      </c>
      <c r="H1" s="49" t="s">
        <v>229</v>
      </c>
    </row>
    <row r="2" spans="1:8" ht="15">
      <c r="A2" s="47" t="s">
        <v>230</v>
      </c>
      <c r="B2" s="48"/>
      <c r="C2" s="48"/>
      <c r="D2" s="48"/>
      <c r="E2" s="48"/>
      <c r="F2" s="48"/>
      <c r="G2" s="48"/>
      <c r="H2" s="48"/>
    </row>
    <row r="3" spans="1:8" ht="15">
      <c r="A3" s="4"/>
      <c r="B3" s="4"/>
      <c r="C3" s="4"/>
      <c r="D3" s="4"/>
      <c r="E3" s="4"/>
      <c r="F3" s="4"/>
      <c r="G3" s="4"/>
      <c r="H3" s="4"/>
    </row>
    <row r="4" spans="1:8" ht="15">
      <c r="A4" s="1" t="s">
        <v>231</v>
      </c>
      <c r="B4" s="2" t="s">
        <v>232</v>
      </c>
      <c r="C4" s="2" t="s">
        <v>233</v>
      </c>
      <c r="D4" s="2" t="s">
        <v>234</v>
      </c>
      <c r="E4" s="2" t="s">
        <v>235</v>
      </c>
      <c r="F4" s="3" t="s">
        <v>25</v>
      </c>
      <c r="G4" s="4"/>
      <c r="H4" s="4"/>
    </row>
    <row r="5" spans="1:8" ht="27">
      <c r="A5" s="5" t="s">
        <v>236</v>
      </c>
      <c r="B5" s="6">
        <f>'Annual Summary'!E7</f>
        <v>4230319.9598175371</v>
      </c>
      <c r="C5" s="6">
        <f>SUM('Monthly Model'!D17:AM19)</f>
        <v>4230319.959817539</v>
      </c>
      <c r="D5" s="6">
        <f t="shared" ref="D5:D10" si="0">B5-C5</f>
        <v>0</v>
      </c>
      <c r="E5" s="36" t="str">
        <f>IF(ABS(D5)&lt;1,"OK","Review")</f>
        <v>OK</v>
      </c>
      <c r="F5" s="37" t="s">
        <v>237</v>
      </c>
      <c r="G5" s="4"/>
      <c r="H5" s="4"/>
    </row>
    <row r="6" spans="1:8" ht="27">
      <c r="A6" s="8" t="s">
        <v>238</v>
      </c>
      <c r="B6" s="9">
        <f>'Annual Summary'!E8</f>
        <v>579585.2965436941</v>
      </c>
      <c r="C6" s="9">
        <f>SUM('Monthly Model'!D23:AM25)</f>
        <v>579585.29654369398</v>
      </c>
      <c r="D6" s="9">
        <f t="shared" si="0"/>
        <v>0</v>
      </c>
      <c r="E6" s="34" t="str">
        <f>IF(ABS(D6)&lt;1,"OK","Review")</f>
        <v>OK</v>
      </c>
      <c r="F6" s="38" t="s">
        <v>239</v>
      </c>
      <c r="G6" s="4"/>
      <c r="H6" s="4"/>
    </row>
    <row r="7" spans="1:8" ht="27">
      <c r="A7" s="8" t="s">
        <v>240</v>
      </c>
      <c r="B7" s="9">
        <f>'Annual Summary'!E11</f>
        <v>1426376.2121840734</v>
      </c>
      <c r="C7" s="9">
        <f>SUM('Monthly Model'!D33:AM36)</f>
        <v>1426376.2121840732</v>
      </c>
      <c r="D7" s="9">
        <f t="shared" si="0"/>
        <v>0</v>
      </c>
      <c r="E7" s="34" t="str">
        <f>IF(ABS(D7)&lt;1,"OK","Review")</f>
        <v>OK</v>
      </c>
      <c r="F7" s="38" t="s">
        <v>241</v>
      </c>
      <c r="G7" s="4"/>
      <c r="H7" s="4"/>
    </row>
    <row r="8" spans="1:8" ht="27">
      <c r="A8" s="8" t="s">
        <v>242</v>
      </c>
      <c r="B8" s="9">
        <f>'Annual Summary'!E14</f>
        <v>2234358.4510897696</v>
      </c>
      <c r="C8" s="9">
        <f>Assumptions!$C$23+'Annual Summary'!E13</f>
        <v>2234358.4510897696</v>
      </c>
      <c r="D8" s="9">
        <f t="shared" si="0"/>
        <v>0</v>
      </c>
      <c r="E8" s="34" t="str">
        <f>IF(ABS(D8)&lt;1,"OK","Review")</f>
        <v>OK</v>
      </c>
      <c r="F8" s="38" t="s">
        <v>243</v>
      </c>
      <c r="G8" s="4"/>
      <c r="H8" s="4"/>
    </row>
    <row r="9" spans="1:8" ht="27">
      <c r="A9" s="8" t="s">
        <v>244</v>
      </c>
      <c r="B9" s="14">
        <f>0</f>
        <v>0</v>
      </c>
      <c r="C9" s="14">
        <f>0</f>
        <v>0</v>
      </c>
      <c r="D9" s="14">
        <f t="shared" si="0"/>
        <v>0</v>
      </c>
      <c r="E9" s="34" t="str">
        <f>IF(B9=0,"OK","Review")</f>
        <v>OK</v>
      </c>
      <c r="F9" s="38" t="s">
        <v>245</v>
      </c>
      <c r="G9" s="4"/>
      <c r="H9" s="4"/>
    </row>
    <row r="10" spans="1:8" ht="15">
      <c r="A10" s="11" t="s">
        <v>246</v>
      </c>
      <c r="B10" s="45">
        <f>COUNTIF(E5:E9,"Review")</f>
        <v>0</v>
      </c>
      <c r="C10" s="45">
        <f>0</f>
        <v>0</v>
      </c>
      <c r="D10" s="45">
        <f t="shared" si="0"/>
        <v>0</v>
      </c>
      <c r="E10" s="35" t="str">
        <f>IF(B10=0,"OK","Review")</f>
        <v>OK</v>
      </c>
      <c r="F10" s="44" t="s">
        <v>247</v>
      </c>
      <c r="G10" s="4"/>
      <c r="H10" s="4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2"/>
  <sheetViews>
    <sheetView showGridLines="0" workbookViewId="0">
      <selection activeCell="C25" sqref="C25"/>
    </sheetView>
  </sheetViews>
  <sheetFormatPr defaultRowHeight="14.25"/>
  <cols>
    <col min="1" max="2" width="22.5" customWidth="1"/>
    <col min="3" max="3" width="20" customWidth="1"/>
    <col min="4" max="4" width="27.5" customWidth="1"/>
    <col min="5" max="5" width="37.5" customWidth="1"/>
    <col min="6" max="6" width="27.5" customWidth="1"/>
    <col min="7" max="8" width="20" customWidth="1"/>
  </cols>
  <sheetData>
    <row r="1" spans="1:8" ht="31.5" customHeight="1">
      <c r="A1" s="49" t="s">
        <v>248</v>
      </c>
      <c r="B1" s="49" t="s">
        <v>248</v>
      </c>
      <c r="C1" s="49" t="s">
        <v>248</v>
      </c>
      <c r="D1" s="49" t="s">
        <v>248</v>
      </c>
      <c r="E1" s="49" t="s">
        <v>248</v>
      </c>
      <c r="F1" s="49" t="s">
        <v>248</v>
      </c>
      <c r="G1" s="49" t="s">
        <v>248</v>
      </c>
      <c r="H1" s="49" t="s">
        <v>248</v>
      </c>
    </row>
    <row r="2" spans="1:8" ht="15">
      <c r="A2" s="47" t="s">
        <v>249</v>
      </c>
      <c r="B2" s="48"/>
      <c r="C2" s="48"/>
      <c r="D2" s="48"/>
      <c r="E2" s="48"/>
      <c r="F2" s="48"/>
      <c r="G2" s="48"/>
      <c r="H2" s="48"/>
    </row>
    <row r="3" spans="1:8" ht="15">
      <c r="A3" s="4"/>
      <c r="B3" s="4"/>
      <c r="C3" s="4"/>
      <c r="D3" s="4"/>
      <c r="E3" s="4"/>
      <c r="F3" s="4"/>
      <c r="G3" s="4"/>
      <c r="H3" s="4"/>
    </row>
    <row r="4" spans="1:8" ht="15">
      <c r="A4" s="1" t="s">
        <v>250</v>
      </c>
      <c r="B4" s="2" t="s">
        <v>251</v>
      </c>
      <c r="C4" s="2" t="s">
        <v>252</v>
      </c>
      <c r="D4" s="2" t="s">
        <v>253</v>
      </c>
      <c r="E4" s="2" t="s">
        <v>25</v>
      </c>
      <c r="F4" s="3" t="s">
        <v>254</v>
      </c>
      <c r="G4" s="4"/>
      <c r="H4" s="4"/>
    </row>
    <row r="5" spans="1:8" ht="27">
      <c r="A5" s="5" t="s">
        <v>255</v>
      </c>
      <c r="B5" s="36" t="s">
        <v>256</v>
      </c>
      <c r="C5" s="36" t="s">
        <v>257</v>
      </c>
      <c r="D5" s="36" t="s">
        <v>258</v>
      </c>
      <c r="E5" s="36" t="s">
        <v>259</v>
      </c>
      <c r="F5" s="37" t="s">
        <v>260</v>
      </c>
      <c r="G5" s="4"/>
      <c r="H5" s="4"/>
    </row>
    <row r="6" spans="1:8" ht="15">
      <c r="A6" s="8" t="s">
        <v>31</v>
      </c>
      <c r="B6" s="34" t="s">
        <v>261</v>
      </c>
      <c r="C6" s="34" t="s">
        <v>85</v>
      </c>
      <c r="D6" s="34" t="s">
        <v>29</v>
      </c>
      <c r="E6" s="34" t="s">
        <v>262</v>
      </c>
      <c r="F6" s="38" t="s">
        <v>260</v>
      </c>
      <c r="G6" s="4"/>
      <c r="H6" s="4"/>
    </row>
    <row r="7" spans="1:8" ht="27">
      <c r="A7" s="8" t="s">
        <v>59</v>
      </c>
      <c r="B7" s="34" t="s">
        <v>263</v>
      </c>
      <c r="C7" s="34" t="s">
        <v>264</v>
      </c>
      <c r="D7" s="34" t="s">
        <v>29</v>
      </c>
      <c r="E7" s="34" t="s">
        <v>265</v>
      </c>
      <c r="F7" s="38" t="s">
        <v>260</v>
      </c>
      <c r="G7" s="4"/>
      <c r="H7" s="4"/>
    </row>
    <row r="8" spans="1:8" ht="27">
      <c r="A8" s="8" t="s">
        <v>46</v>
      </c>
      <c r="B8" s="34" t="s">
        <v>266</v>
      </c>
      <c r="C8" s="34" t="s">
        <v>267</v>
      </c>
      <c r="D8" s="34" t="s">
        <v>29</v>
      </c>
      <c r="E8" s="34" t="s">
        <v>268</v>
      </c>
      <c r="F8" s="38" t="s">
        <v>260</v>
      </c>
      <c r="G8" s="4"/>
      <c r="H8" s="4"/>
    </row>
    <row r="9" spans="1:8" ht="15">
      <c r="A9" s="8" t="s">
        <v>175</v>
      </c>
      <c r="B9" s="34" t="s">
        <v>269</v>
      </c>
      <c r="C9" s="34" t="s">
        <v>42</v>
      </c>
      <c r="D9" s="34" t="s">
        <v>270</v>
      </c>
      <c r="E9" s="34" t="s">
        <v>271</v>
      </c>
      <c r="F9" s="38" t="s">
        <v>83</v>
      </c>
      <c r="G9" s="4"/>
      <c r="H9" s="4"/>
    </row>
    <row r="10" spans="1:8" ht="15">
      <c r="A10" s="8" t="s">
        <v>272</v>
      </c>
      <c r="B10" s="34" t="s">
        <v>85</v>
      </c>
      <c r="C10" s="34" t="s">
        <v>85</v>
      </c>
      <c r="D10" s="34" t="s">
        <v>273</v>
      </c>
      <c r="E10" s="34" t="s">
        <v>274</v>
      </c>
      <c r="F10" s="38" t="s">
        <v>260</v>
      </c>
      <c r="G10" s="4"/>
      <c r="H10" s="4"/>
    </row>
    <row r="11" spans="1:8" ht="15">
      <c r="A11" s="8" t="s">
        <v>275</v>
      </c>
      <c r="B11" s="34" t="s">
        <v>276</v>
      </c>
      <c r="C11" s="34" t="s">
        <v>277</v>
      </c>
      <c r="D11" s="34" t="s">
        <v>278</v>
      </c>
      <c r="E11" s="34" t="s">
        <v>279</v>
      </c>
      <c r="F11" s="38" t="s">
        <v>280</v>
      </c>
      <c r="G11" s="4"/>
      <c r="H11" s="4"/>
    </row>
    <row r="12" spans="1:8" ht="27">
      <c r="A12" s="11" t="s">
        <v>281</v>
      </c>
      <c r="B12" s="35" t="s">
        <v>282</v>
      </c>
      <c r="C12" s="35" t="s">
        <v>257</v>
      </c>
      <c r="D12" s="35" t="s">
        <v>283</v>
      </c>
      <c r="E12" s="35" t="s">
        <v>284</v>
      </c>
      <c r="F12" s="44" t="s">
        <v>285</v>
      </c>
      <c r="G12" s="4"/>
      <c r="H12" s="4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Assumptions</vt:lpstr>
      <vt:lpstr>Monthly Model</vt:lpstr>
      <vt:lpstr>Annual Summary</vt:lpstr>
      <vt:lpstr>Unit Economics</vt:lpstr>
      <vt:lpstr>Scenarios</vt:lpstr>
      <vt:lpstr>Checks</vt:lpstr>
      <vt:lpstr>Sources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kamal latif</cp:lastModifiedBy>
  <dcterms:created xsi:type="dcterms:W3CDTF">2026-07-28T07:43:30Z</dcterms:created>
  <dcterms:modified xsi:type="dcterms:W3CDTF">2026-07-28T07:43:30Z</dcterms:modified>
</cp:coreProperties>
</file>